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requenzen" sheetId="1" state="visible" r:id="rId3"/>
    <sheet name="klavier_noten_frequenzen" sheetId="2" state="visible" r:id="rId4"/>
    <sheet name="Berechnung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<sst xmlns="http://schemas.openxmlformats.org/spreadsheetml/2006/main" count="468" uniqueCount="278">
  <si>
    <t xml:space="preserve">Note</t>
  </si>
  <si>
    <t xml:space="preserve">Frequenz (Hz)</t>
  </si>
  <si>
    <t xml:space="preserve">A0</t>
  </si>
  <si>
    <t xml:space="preserve">27.5</t>
  </si>
  <si>
    <t xml:space="preserve">A#0/Bb0</t>
  </si>
  <si>
    <t xml:space="preserve">B0</t>
  </si>
  <si>
    <t xml:space="preserve">C1</t>
  </si>
  <si>
    <t xml:space="preserve">C#1/Db1</t>
  </si>
  <si>
    <t xml:space="preserve">D1</t>
  </si>
  <si>
    <t xml:space="preserve">D#1/Eb1</t>
  </si>
  <si>
    <t xml:space="preserve">E1</t>
  </si>
  <si>
    <t xml:space="preserve">F1</t>
  </si>
  <si>
    <t xml:space="preserve">F#1/Gb1</t>
  </si>
  <si>
    <t xml:space="preserve">G1</t>
  </si>
  <si>
    <t xml:space="preserve">G#1/Ab1</t>
  </si>
  <si>
    <t xml:space="preserve">A1</t>
  </si>
  <si>
    <t xml:space="preserve">55.0</t>
  </si>
  <si>
    <t xml:space="preserve">A#1/Bb1</t>
  </si>
  <si>
    <t xml:space="preserve">58.27</t>
  </si>
  <si>
    <t xml:space="preserve">B1</t>
  </si>
  <si>
    <t xml:space="preserve">C2</t>
  </si>
  <si>
    <t xml:space="preserve">C#2/Db2</t>
  </si>
  <si>
    <t xml:space="preserve">D2</t>
  </si>
  <si>
    <t xml:space="preserve">D#2/Eb2</t>
  </si>
  <si>
    <t xml:space="preserve">E2</t>
  </si>
  <si>
    <t xml:space="preserve">F2</t>
  </si>
  <si>
    <t xml:space="preserve">F#2/Gb2</t>
  </si>
  <si>
    <t xml:space="preserve">G2</t>
  </si>
  <si>
    <t xml:space="preserve">G#2/Ab2</t>
  </si>
  <si>
    <t xml:space="preserve">A2</t>
  </si>
  <si>
    <t xml:space="preserve">110.0</t>
  </si>
  <si>
    <t xml:space="preserve">A#2/Bb2</t>
  </si>
  <si>
    <t xml:space="preserve">B2</t>
  </si>
  <si>
    <t xml:space="preserve">C3</t>
  </si>
  <si>
    <t xml:space="preserve">C#3/Db3</t>
  </si>
  <si>
    <t xml:space="preserve">D3</t>
  </si>
  <si>
    <t xml:space="preserve">D#3/Eb3</t>
  </si>
  <si>
    <t xml:space="preserve">E3</t>
  </si>
  <si>
    <t xml:space="preserve">F3</t>
  </si>
  <si>
    <t xml:space="preserve">F#3/Gb3</t>
  </si>
  <si>
    <t xml:space="preserve">G3</t>
  </si>
  <si>
    <t xml:space="preserve">G#3/Ab3</t>
  </si>
  <si>
    <t xml:space="preserve">A3</t>
  </si>
  <si>
    <t xml:space="preserve">220.0</t>
  </si>
  <si>
    <t xml:space="preserve">A#3/Bb3</t>
  </si>
  <si>
    <t xml:space="preserve">B3</t>
  </si>
  <si>
    <t xml:space="preserve">C4</t>
  </si>
  <si>
    <t xml:space="preserve">C#4/Db4</t>
  </si>
  <si>
    <t xml:space="preserve">D4</t>
  </si>
  <si>
    <t xml:space="preserve">D#4/Eb4</t>
  </si>
  <si>
    <t xml:space="preserve">E4</t>
  </si>
  <si>
    <t xml:space="preserve">F4</t>
  </si>
  <si>
    <t xml:space="preserve">F#4/Gb4</t>
  </si>
  <si>
    <t xml:space="preserve">G4</t>
  </si>
  <si>
    <t xml:space="preserve">G#4/Ab4</t>
  </si>
  <si>
    <t xml:space="preserve">A4</t>
  </si>
  <si>
    <t xml:space="preserve">440.0</t>
  </si>
  <si>
    <t xml:space="preserve">A#4/Bb4</t>
  </si>
  <si>
    <t xml:space="preserve">B4</t>
  </si>
  <si>
    <t xml:space="preserve">C5</t>
  </si>
  <si>
    <t xml:space="preserve">C#5/Db5</t>
  </si>
  <si>
    <t xml:space="preserve">D5</t>
  </si>
  <si>
    <t xml:space="preserve">587.33</t>
  </si>
  <si>
    <t xml:space="preserve">D#5/Eb5</t>
  </si>
  <si>
    <t xml:space="preserve">E5</t>
  </si>
  <si>
    <t xml:space="preserve">F5</t>
  </si>
  <si>
    <t xml:space="preserve">F#5/Gb5</t>
  </si>
  <si>
    <t xml:space="preserve">G5</t>
  </si>
  <si>
    <t xml:space="preserve">G#5/Ab5</t>
  </si>
  <si>
    <t xml:space="preserve">A5</t>
  </si>
  <si>
    <t xml:space="preserve">880.0</t>
  </si>
  <si>
    <t xml:space="preserve">A#5/Bb5</t>
  </si>
  <si>
    <t xml:space="preserve">B5</t>
  </si>
  <si>
    <t xml:space="preserve">C6</t>
  </si>
  <si>
    <t xml:space="preserve">C#6/Db6</t>
  </si>
  <si>
    <t xml:space="preserve">D6</t>
  </si>
  <si>
    <t xml:space="preserve">D#6/Eb6</t>
  </si>
  <si>
    <t xml:space="preserve">E6</t>
  </si>
  <si>
    <t xml:space="preserve">1318.51</t>
  </si>
  <si>
    <t xml:space="preserve">F6</t>
  </si>
  <si>
    <t xml:space="preserve">F#6/Gb6</t>
  </si>
  <si>
    <t xml:space="preserve">G6</t>
  </si>
  <si>
    <t xml:space="preserve">G#6/Ab6</t>
  </si>
  <si>
    <t xml:space="preserve">A6</t>
  </si>
  <si>
    <t xml:space="preserve">1760.0</t>
  </si>
  <si>
    <t xml:space="preserve">A#6/Bb6</t>
  </si>
  <si>
    <t xml:space="preserve">B6</t>
  </si>
  <si>
    <t xml:space="preserve">C7</t>
  </si>
  <si>
    <t xml:space="preserve">C#7/Db7</t>
  </si>
  <si>
    <t xml:space="preserve">D7</t>
  </si>
  <si>
    <t xml:space="preserve">D#7/Eb7</t>
  </si>
  <si>
    <t xml:space="preserve">E7</t>
  </si>
  <si>
    <t xml:space="preserve">2637.02</t>
  </si>
  <si>
    <t xml:space="preserve">F7</t>
  </si>
  <si>
    <t xml:space="preserve">F#7/Gb7</t>
  </si>
  <si>
    <t xml:space="preserve">G7</t>
  </si>
  <si>
    <t xml:space="preserve">G#7/Ab7</t>
  </si>
  <si>
    <t xml:space="preserve">A7</t>
  </si>
  <si>
    <t xml:space="preserve">3520.0</t>
  </si>
  <si>
    <t xml:space="preserve">A#7/Bb7</t>
  </si>
  <si>
    <t xml:space="preserve">3729.31</t>
  </si>
  <si>
    <t xml:space="preserve">B7</t>
  </si>
  <si>
    <t xml:space="preserve">C8</t>
  </si>
  <si>
    <t xml:space="preserve">Tasten-
nummer </t>
  </si>
  <si>
    <t xml:space="preserve">Notation
(englisch) </t>
  </si>
  <si>
    <t xml:space="preserve">Notation
(deutsch) </t>
  </si>
  <si>
    <t xml:space="preserve">Frequenz (Hz)
(Kammerton 440 Hz) </t>
  </si>
  <si>
    <t xml:space="preserve">C8 </t>
  </si>
  <si>
    <t xml:space="preserve">c5 </t>
  </si>
  <si>
    <t xml:space="preserve">B7 </t>
  </si>
  <si>
    <t xml:space="preserve">h4 </t>
  </si>
  <si>
    <t xml:space="preserve">A#7/Bb7 </t>
  </si>
  <si>
    <t xml:space="preserve">ais4/b4 </t>
  </si>
  <si>
    <t xml:space="preserve">A7 </t>
  </si>
  <si>
    <t xml:space="preserve">a4 </t>
  </si>
  <si>
    <t xml:space="preserve">G#7/Ab7 </t>
  </si>
  <si>
    <t xml:space="preserve">gis4/as4 </t>
  </si>
  <si>
    <t xml:space="preserve">G7 </t>
  </si>
  <si>
    <t xml:space="preserve">g4 </t>
  </si>
  <si>
    <t xml:space="preserve">F#7/Gb7 </t>
  </si>
  <si>
    <t xml:space="preserve">fis4/ges4 </t>
  </si>
  <si>
    <t xml:space="preserve">F7 </t>
  </si>
  <si>
    <t xml:space="preserve">f4 </t>
  </si>
  <si>
    <t xml:space="preserve">E7 </t>
  </si>
  <si>
    <t xml:space="preserve">e4 </t>
  </si>
  <si>
    <t xml:space="preserve">D#7/Eb7 </t>
  </si>
  <si>
    <t xml:space="preserve">dis4/es4 </t>
  </si>
  <si>
    <t xml:space="preserve">D7 </t>
  </si>
  <si>
    <t xml:space="preserve">d4 </t>
  </si>
  <si>
    <t xml:space="preserve">C#7/Db7 </t>
  </si>
  <si>
    <t xml:space="preserve">cis4/des4 </t>
  </si>
  <si>
    <t xml:space="preserve">C7 </t>
  </si>
  <si>
    <t xml:space="preserve">c4 </t>
  </si>
  <si>
    <t xml:space="preserve">B6 </t>
  </si>
  <si>
    <t xml:space="preserve">h3 </t>
  </si>
  <si>
    <t xml:space="preserve">A#6/Bb6 </t>
  </si>
  <si>
    <t xml:space="preserve">ais3/b3 </t>
  </si>
  <si>
    <t xml:space="preserve">A6 </t>
  </si>
  <si>
    <t xml:space="preserve">a3 </t>
  </si>
  <si>
    <t xml:space="preserve">G#6/Ab6 </t>
  </si>
  <si>
    <t xml:space="preserve">gis3/as3 </t>
  </si>
  <si>
    <t xml:space="preserve">G6 </t>
  </si>
  <si>
    <t xml:space="preserve">g3 </t>
  </si>
  <si>
    <t xml:space="preserve">F#6/Gb6 </t>
  </si>
  <si>
    <t xml:space="preserve">fis3/ges3 </t>
  </si>
  <si>
    <t xml:space="preserve">F6 </t>
  </si>
  <si>
    <t xml:space="preserve">f3 </t>
  </si>
  <si>
    <t xml:space="preserve">E6 </t>
  </si>
  <si>
    <t xml:space="preserve">e3 </t>
  </si>
  <si>
    <t xml:space="preserve">D#6/Eb6 </t>
  </si>
  <si>
    <t xml:space="preserve">dis3/es3 </t>
  </si>
  <si>
    <t xml:space="preserve">D6 </t>
  </si>
  <si>
    <t xml:space="preserve">d3 </t>
  </si>
  <si>
    <t xml:space="preserve">C#6/Db6 </t>
  </si>
  <si>
    <t xml:space="preserve">cis3/des3 </t>
  </si>
  <si>
    <t xml:space="preserve">C6 </t>
  </si>
  <si>
    <t xml:space="preserve">c3 </t>
  </si>
  <si>
    <t xml:space="preserve">B5 </t>
  </si>
  <si>
    <t xml:space="preserve">h2 </t>
  </si>
  <si>
    <t xml:space="preserve">A#5/Bb5 </t>
  </si>
  <si>
    <t xml:space="preserve">ais2/b2 </t>
  </si>
  <si>
    <t xml:space="preserve">A5 </t>
  </si>
  <si>
    <t xml:space="preserve">a2 </t>
  </si>
  <si>
    <t xml:space="preserve">G#5/Ab5 </t>
  </si>
  <si>
    <t xml:space="preserve">gis2/as2 </t>
  </si>
  <si>
    <t xml:space="preserve">G5 </t>
  </si>
  <si>
    <t xml:space="preserve">g2 </t>
  </si>
  <si>
    <t xml:space="preserve">F#5/Gb5 </t>
  </si>
  <si>
    <t xml:space="preserve">fis2/ges2 </t>
  </si>
  <si>
    <t xml:space="preserve">F5 </t>
  </si>
  <si>
    <t xml:space="preserve">f2 </t>
  </si>
  <si>
    <t xml:space="preserve">E5 </t>
  </si>
  <si>
    <t xml:space="preserve">e2 </t>
  </si>
  <si>
    <t xml:space="preserve">D#5/Eb5 </t>
  </si>
  <si>
    <t xml:space="preserve">dis2/es2 </t>
  </si>
  <si>
    <t xml:space="preserve">D5 </t>
  </si>
  <si>
    <t xml:space="preserve">d2 </t>
  </si>
  <si>
    <t xml:space="preserve">C#5/Db5 </t>
  </si>
  <si>
    <t xml:space="preserve">cis2/des2 </t>
  </si>
  <si>
    <t xml:space="preserve">C5 </t>
  </si>
  <si>
    <t xml:space="preserve">c2 </t>
  </si>
  <si>
    <t xml:space="preserve">B4 </t>
  </si>
  <si>
    <t xml:space="preserve">h1 </t>
  </si>
  <si>
    <t xml:space="preserve">A#4/Bb4 </t>
  </si>
  <si>
    <t xml:space="preserve">ais1/b1 </t>
  </si>
  <si>
    <t xml:space="preserve">a1 </t>
  </si>
  <si>
    <t xml:space="preserve">440 Kammerton </t>
  </si>
  <si>
    <t xml:space="preserve">G#4/Ab4 </t>
  </si>
  <si>
    <t xml:space="preserve">gis1/as1 </t>
  </si>
  <si>
    <t xml:space="preserve">G4 </t>
  </si>
  <si>
    <t xml:space="preserve">g1 </t>
  </si>
  <si>
    <t xml:space="preserve">F#4/Gb4 </t>
  </si>
  <si>
    <t xml:space="preserve">fis1/ges1 </t>
  </si>
  <si>
    <t xml:space="preserve">F4 </t>
  </si>
  <si>
    <t xml:space="preserve">f1 </t>
  </si>
  <si>
    <t xml:space="preserve">E4 </t>
  </si>
  <si>
    <t xml:space="preserve">e1 </t>
  </si>
  <si>
    <t xml:space="preserve">D#4/Eb4 </t>
  </si>
  <si>
    <t xml:space="preserve">dis1/es1 </t>
  </si>
  <si>
    <t xml:space="preserve">D4 </t>
  </si>
  <si>
    <t xml:space="preserve">d1 </t>
  </si>
  <si>
    <t xml:space="preserve">C#4/Db4 </t>
  </si>
  <si>
    <t xml:space="preserve">cis1/des1 </t>
  </si>
  <si>
    <t xml:space="preserve">c1 </t>
  </si>
  <si>
    <t xml:space="preserve">B3 </t>
  </si>
  <si>
    <t xml:space="preserve">h </t>
  </si>
  <si>
    <t xml:space="preserve">A#3/Bb3 </t>
  </si>
  <si>
    <t xml:space="preserve">ais/b </t>
  </si>
  <si>
    <t xml:space="preserve">A3 </t>
  </si>
  <si>
    <t xml:space="preserve">a </t>
  </si>
  <si>
    <t xml:space="preserve">G#3/Ab3 </t>
  </si>
  <si>
    <t xml:space="preserve">gis/as </t>
  </si>
  <si>
    <t xml:space="preserve">G3 </t>
  </si>
  <si>
    <t xml:space="preserve">g </t>
  </si>
  <si>
    <t xml:space="preserve">F#3/Gb3 </t>
  </si>
  <si>
    <t xml:space="preserve">fis/ges </t>
  </si>
  <si>
    <t xml:space="preserve">F3 </t>
  </si>
  <si>
    <t xml:space="preserve">f </t>
  </si>
  <si>
    <t xml:space="preserve">E3 </t>
  </si>
  <si>
    <t xml:space="preserve">e </t>
  </si>
  <si>
    <t xml:space="preserve">D#3/Eb3 </t>
  </si>
  <si>
    <t xml:space="preserve">dis/es </t>
  </si>
  <si>
    <t xml:space="preserve">D3 </t>
  </si>
  <si>
    <t xml:space="preserve">d </t>
  </si>
  <si>
    <t xml:space="preserve">C#3/Db3 </t>
  </si>
  <si>
    <t xml:space="preserve">cis/des </t>
  </si>
  <si>
    <t xml:space="preserve">C3 </t>
  </si>
  <si>
    <t xml:space="preserve">c </t>
  </si>
  <si>
    <t xml:space="preserve">B2 </t>
  </si>
  <si>
    <t xml:space="preserve">H </t>
  </si>
  <si>
    <t xml:space="preserve">A#2/Bb2 </t>
  </si>
  <si>
    <t xml:space="preserve">Ais/B </t>
  </si>
  <si>
    <t xml:space="preserve">A2 </t>
  </si>
  <si>
    <t xml:space="preserve">A </t>
  </si>
  <si>
    <t xml:space="preserve">G#2/Ab2 </t>
  </si>
  <si>
    <t xml:space="preserve">Gis/As </t>
  </si>
  <si>
    <t xml:space="preserve">G2 </t>
  </si>
  <si>
    <t xml:space="preserve">G </t>
  </si>
  <si>
    <t xml:space="preserve">F#2/Gb2 </t>
  </si>
  <si>
    <t xml:space="preserve">Fis/Ges </t>
  </si>
  <si>
    <t xml:space="preserve">F2 </t>
  </si>
  <si>
    <t xml:space="preserve">F </t>
  </si>
  <si>
    <t xml:space="preserve">E2 </t>
  </si>
  <si>
    <t xml:space="preserve">E </t>
  </si>
  <si>
    <t xml:space="preserve">D#2/Eb2 </t>
  </si>
  <si>
    <t xml:space="preserve">Dis/Es </t>
  </si>
  <si>
    <t xml:space="preserve">D2 </t>
  </si>
  <si>
    <t xml:space="preserve">D </t>
  </si>
  <si>
    <t xml:space="preserve">C#2/Db2 </t>
  </si>
  <si>
    <t xml:space="preserve">Cis/Des </t>
  </si>
  <si>
    <t xml:space="preserve">C2 </t>
  </si>
  <si>
    <t xml:space="preserve">C </t>
  </si>
  <si>
    <t xml:space="preserve">B1 </t>
  </si>
  <si>
    <t xml:space="preserve">H1 </t>
  </si>
  <si>
    <t xml:space="preserve">A#1/Bb1 </t>
  </si>
  <si>
    <t xml:space="preserve">Ais1/B1 </t>
  </si>
  <si>
    <t xml:space="preserve">A1 </t>
  </si>
  <si>
    <t xml:space="preserve">G#1/Ab1 </t>
  </si>
  <si>
    <t xml:space="preserve">Gis1/As1 </t>
  </si>
  <si>
    <t xml:space="preserve">G1 </t>
  </si>
  <si>
    <t xml:space="preserve">F#1/Gb1 </t>
  </si>
  <si>
    <t xml:space="preserve">Fis1/Ges1 </t>
  </si>
  <si>
    <t xml:space="preserve">F1 </t>
  </si>
  <si>
    <t xml:space="preserve">E1 </t>
  </si>
  <si>
    <t xml:space="preserve">D#1/Eb1 </t>
  </si>
  <si>
    <t xml:space="preserve">Dis1/Es1 </t>
  </si>
  <si>
    <t xml:space="preserve">D1 </t>
  </si>
  <si>
    <t xml:space="preserve">C#1/Db1 </t>
  </si>
  <si>
    <t xml:space="preserve">Cis1/Des1 </t>
  </si>
  <si>
    <t xml:space="preserve">C1 </t>
  </si>
  <si>
    <t xml:space="preserve">B0 </t>
  </si>
  <si>
    <t xml:space="preserve">H2 </t>
  </si>
  <si>
    <t xml:space="preserve">A#0/Bb0 </t>
  </si>
  <si>
    <t xml:space="preserve">Ais2/B2 </t>
  </si>
  <si>
    <t xml:space="preserve">A0 </t>
  </si>
  <si>
    <t xml:space="preserve">https://mint-zirkel.de/2023/10/10/musik-papier-und-die-zwoelfte-dimension/</t>
  </si>
  <si>
    <t xml:space="preserve">=0,5*(2^(1/4))*440</t>
  </si>
  <si>
    <t xml:space="preserve">=(2^(1/12))^GX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</si>
</sst>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b val="true"/>
      <sz val="10"/>
      <color rgb="FF0000FF"/>
      <name val="Times New Roman"/>
      <family val="1"/>
      <charset val="1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e.wikipedia.org/wiki/Hertz_(Einheit)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mint-zirkel.de/2023/10/10/musik-papier-und-die-zwoelfte-dimension/" TargetMode="External"/><Relationship Id="rId2" Type="http://schemas.openxmlformats.org/officeDocument/2006/relationships/hyperlink" Target="https://de.wikipedia.org/wiki/Hertz_(Einheit)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9"/>
  <sheetViews>
    <sheetView showFormulas="false" showGridLines="true" showRowColHeaders="true" showZeros="true" rightToLeft="false" tabSelected="false" showOutlineSymbols="true" defaultGridColor="true" view="normal" topLeftCell="A70" colorId="64" zoomScale="110" zoomScaleNormal="110" zoomScalePageLayoutView="100" workbookViewId="0">
      <selection pane="topLeft" activeCell="A29" activeCellId="0" sqref="A2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.52"/>
    <col collapsed="false" customWidth="true" hidden="false" outlineLevel="0" max="2" min="2" style="1" width="12.9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n">
        <v>29135</v>
      </c>
    </row>
    <row r="4" customFormat="false" ht="12.8" hidden="false" customHeight="false" outlineLevel="0" collapsed="false">
      <c r="A4" s="1" t="s">
        <v>5</v>
      </c>
      <c r="B4" s="1" t="n">
        <v>30868</v>
      </c>
    </row>
    <row r="5" customFormat="false" ht="12.8" hidden="false" customHeight="false" outlineLevel="0" collapsed="false">
      <c r="A5" s="1" t="s">
        <v>6</v>
      </c>
      <c r="B5" s="1" t="n">
        <v>32703</v>
      </c>
    </row>
    <row r="6" customFormat="false" ht="12.8" hidden="false" customHeight="false" outlineLevel="0" collapsed="false">
      <c r="A6" s="1" t="s">
        <v>7</v>
      </c>
      <c r="B6" s="1" t="n">
        <v>34648</v>
      </c>
    </row>
    <row r="7" customFormat="false" ht="12.8" hidden="false" customHeight="false" outlineLevel="0" collapsed="false">
      <c r="A7" s="1" t="s">
        <v>8</v>
      </c>
      <c r="B7" s="1" t="n">
        <v>36708</v>
      </c>
    </row>
    <row r="8" customFormat="false" ht="12.8" hidden="false" customHeight="false" outlineLevel="0" collapsed="false">
      <c r="A8" s="1" t="s">
        <v>9</v>
      </c>
      <c r="B8" s="1" t="n">
        <v>38891</v>
      </c>
    </row>
    <row r="9" customFormat="false" ht="12.8" hidden="false" customHeight="false" outlineLevel="0" collapsed="false">
      <c r="A9" s="1" t="s">
        <v>10</v>
      </c>
      <c r="B9" s="1" t="n">
        <v>41203</v>
      </c>
    </row>
    <row r="10" customFormat="false" ht="12.8" hidden="false" customHeight="false" outlineLevel="0" collapsed="false">
      <c r="A10" s="1" t="s">
        <v>11</v>
      </c>
      <c r="B10" s="1" t="n">
        <v>43654</v>
      </c>
    </row>
    <row r="11" customFormat="false" ht="12.8" hidden="false" customHeight="false" outlineLevel="0" collapsed="false">
      <c r="A11" s="1" t="s">
        <v>12</v>
      </c>
      <c r="B11" s="1" t="n">
        <v>46249</v>
      </c>
    </row>
    <row r="12" customFormat="false" ht="12.8" hidden="false" customHeight="false" outlineLevel="0" collapsed="false">
      <c r="A12" s="1" t="s">
        <v>13</v>
      </c>
      <c r="B12" s="1" t="n">
        <v>48999</v>
      </c>
    </row>
    <row r="13" customFormat="false" ht="12.8" hidden="false" customHeight="false" outlineLevel="0" collapsed="false">
      <c r="A13" s="1" t="s">
        <v>14</v>
      </c>
      <c r="B13" s="1" t="n">
        <v>51913</v>
      </c>
    </row>
    <row r="14" customFormat="false" ht="12.8" hidden="false" customHeight="false" outlineLevel="0" collapsed="false">
      <c r="A14" s="1" t="s">
        <v>15</v>
      </c>
      <c r="B14" s="1" t="s">
        <v>16</v>
      </c>
    </row>
    <row r="15" customFormat="false" ht="12.8" hidden="false" customHeight="false" outlineLevel="0" collapsed="false">
      <c r="A15" s="1" t="s">
        <v>17</v>
      </c>
      <c r="B15" s="1" t="s">
        <v>18</v>
      </c>
    </row>
    <row r="16" customFormat="false" ht="12.8" hidden="false" customHeight="false" outlineLevel="0" collapsed="false">
      <c r="A16" s="1" t="s">
        <v>19</v>
      </c>
      <c r="B16" s="1" t="n">
        <v>61735</v>
      </c>
    </row>
    <row r="17" customFormat="false" ht="12.8" hidden="false" customHeight="false" outlineLevel="0" collapsed="false">
      <c r="A17" s="1" t="s">
        <v>20</v>
      </c>
      <c r="B17" s="1" t="n">
        <v>65406</v>
      </c>
    </row>
    <row r="18" customFormat="false" ht="12.8" hidden="false" customHeight="false" outlineLevel="0" collapsed="false">
      <c r="A18" s="1" t="s">
        <v>21</v>
      </c>
      <c r="B18" s="1" t="n">
        <v>69296</v>
      </c>
    </row>
    <row r="19" customFormat="false" ht="12.8" hidden="false" customHeight="false" outlineLevel="0" collapsed="false">
      <c r="A19" s="1" t="s">
        <v>22</v>
      </c>
      <c r="B19" s="1" t="n">
        <v>73416</v>
      </c>
    </row>
    <row r="20" customFormat="false" ht="12.8" hidden="false" customHeight="false" outlineLevel="0" collapsed="false">
      <c r="A20" s="1" t="s">
        <v>23</v>
      </c>
      <c r="B20" s="1" t="n">
        <v>77782</v>
      </c>
    </row>
    <row r="21" customFormat="false" ht="12.8" hidden="false" customHeight="false" outlineLevel="0" collapsed="false">
      <c r="A21" s="1" t="s">
        <v>24</v>
      </c>
      <c r="B21" s="1" t="n">
        <v>82407</v>
      </c>
    </row>
    <row r="22" customFormat="false" ht="12.8" hidden="false" customHeight="false" outlineLevel="0" collapsed="false">
      <c r="A22" s="1" t="s">
        <v>25</v>
      </c>
      <c r="B22" s="1" t="n">
        <v>87307</v>
      </c>
    </row>
    <row r="23" customFormat="false" ht="12.8" hidden="false" customHeight="false" outlineLevel="0" collapsed="false">
      <c r="A23" s="1" t="s">
        <v>26</v>
      </c>
      <c r="B23" s="1" t="n">
        <v>92499</v>
      </c>
    </row>
    <row r="24" customFormat="false" ht="12.8" hidden="false" customHeight="false" outlineLevel="0" collapsed="false">
      <c r="A24" s="1" t="s">
        <v>27</v>
      </c>
      <c r="B24" s="1" t="n">
        <v>97999</v>
      </c>
    </row>
    <row r="25" customFormat="false" ht="12.8" hidden="false" customHeight="false" outlineLevel="0" collapsed="false">
      <c r="A25" s="1" t="s">
        <v>28</v>
      </c>
      <c r="B25" s="1" t="n">
        <v>103826</v>
      </c>
    </row>
    <row r="26" customFormat="false" ht="12.8" hidden="false" customHeight="false" outlineLevel="0" collapsed="false">
      <c r="A26" s="1" t="s">
        <v>29</v>
      </c>
      <c r="B26" s="1" t="s">
        <v>30</v>
      </c>
    </row>
    <row r="27" customFormat="false" ht="12.8" hidden="false" customHeight="false" outlineLevel="0" collapsed="false">
      <c r="A27" s="1" t="s">
        <v>31</v>
      </c>
      <c r="B27" s="1" t="n">
        <v>116541</v>
      </c>
    </row>
    <row r="28" customFormat="false" ht="12.8" hidden="false" customHeight="false" outlineLevel="0" collapsed="false">
      <c r="A28" s="1" t="s">
        <v>32</v>
      </c>
      <c r="B28" s="1" t="n">
        <v>123471</v>
      </c>
    </row>
    <row r="29" customFormat="false" ht="12.8" hidden="false" customHeight="false" outlineLevel="0" collapsed="false">
      <c r="A29" s="1" t="s">
        <v>33</v>
      </c>
      <c r="B29" s="1" t="n">
        <v>130813</v>
      </c>
    </row>
    <row r="30" customFormat="false" ht="12.8" hidden="false" customHeight="false" outlineLevel="0" collapsed="false">
      <c r="A30" s="1" t="s">
        <v>34</v>
      </c>
      <c r="B30" s="1" t="n">
        <v>138591</v>
      </c>
    </row>
    <row r="31" customFormat="false" ht="12.8" hidden="false" customHeight="false" outlineLevel="0" collapsed="false">
      <c r="A31" s="1" t="s">
        <v>35</v>
      </c>
      <c r="B31" s="1" t="n">
        <v>146832</v>
      </c>
    </row>
    <row r="32" customFormat="false" ht="12.8" hidden="false" customHeight="false" outlineLevel="0" collapsed="false">
      <c r="A32" s="1" t="s">
        <v>36</v>
      </c>
      <c r="B32" s="1" t="n">
        <v>155563</v>
      </c>
    </row>
    <row r="33" customFormat="false" ht="12.8" hidden="false" customHeight="false" outlineLevel="0" collapsed="false">
      <c r="A33" s="1" t="s">
        <v>37</v>
      </c>
      <c r="B33" s="1" t="n">
        <v>164814</v>
      </c>
    </row>
    <row r="34" customFormat="false" ht="12.8" hidden="false" customHeight="false" outlineLevel="0" collapsed="false">
      <c r="A34" s="1" t="s">
        <v>38</v>
      </c>
      <c r="B34" s="1" t="n">
        <v>174614</v>
      </c>
    </row>
    <row r="35" customFormat="false" ht="12.8" hidden="false" customHeight="false" outlineLevel="0" collapsed="false">
      <c r="A35" s="1" t="s">
        <v>39</v>
      </c>
      <c r="B35" s="1" t="n">
        <v>184997</v>
      </c>
    </row>
    <row r="36" customFormat="false" ht="12.8" hidden="false" customHeight="false" outlineLevel="0" collapsed="false">
      <c r="A36" s="1" t="s">
        <v>40</v>
      </c>
      <c r="B36" s="1" t="n">
        <v>195998</v>
      </c>
    </row>
    <row r="37" customFormat="false" ht="12.8" hidden="false" customHeight="false" outlineLevel="0" collapsed="false">
      <c r="A37" s="1" t="s">
        <v>41</v>
      </c>
      <c r="B37" s="1" t="n">
        <v>207652</v>
      </c>
    </row>
    <row r="38" customFormat="false" ht="12.8" hidden="false" customHeight="false" outlineLevel="0" collapsed="false">
      <c r="A38" s="1" t="s">
        <v>42</v>
      </c>
      <c r="B38" s="1" t="s">
        <v>43</v>
      </c>
    </row>
    <row r="39" customFormat="false" ht="12.8" hidden="false" customHeight="false" outlineLevel="0" collapsed="false">
      <c r="A39" s="1" t="s">
        <v>44</v>
      </c>
      <c r="B39" s="1" t="n">
        <v>233082</v>
      </c>
    </row>
    <row r="40" customFormat="false" ht="12.8" hidden="false" customHeight="false" outlineLevel="0" collapsed="false">
      <c r="A40" s="1" t="s">
        <v>45</v>
      </c>
      <c r="B40" s="1" t="n">
        <v>246942</v>
      </c>
    </row>
    <row r="41" customFormat="false" ht="12.8" hidden="false" customHeight="false" outlineLevel="0" collapsed="false">
      <c r="A41" s="1" t="s">
        <v>46</v>
      </c>
      <c r="B41" s="1" t="n">
        <v>261626</v>
      </c>
    </row>
    <row r="42" customFormat="false" ht="12.8" hidden="false" customHeight="false" outlineLevel="0" collapsed="false">
      <c r="A42" s="1" t="s">
        <v>47</v>
      </c>
      <c r="B42" s="1" t="n">
        <v>277183</v>
      </c>
    </row>
    <row r="43" customFormat="false" ht="12.8" hidden="false" customHeight="false" outlineLevel="0" collapsed="false">
      <c r="A43" s="1" t="s">
        <v>48</v>
      </c>
      <c r="B43" s="1" t="n">
        <v>293665</v>
      </c>
    </row>
    <row r="44" customFormat="false" ht="12.8" hidden="false" customHeight="false" outlineLevel="0" collapsed="false">
      <c r="A44" s="1" t="s">
        <v>49</v>
      </c>
      <c r="B44" s="1" t="n">
        <v>311127</v>
      </c>
    </row>
    <row r="45" customFormat="false" ht="12.8" hidden="false" customHeight="false" outlineLevel="0" collapsed="false">
      <c r="A45" s="1" t="s">
        <v>50</v>
      </c>
      <c r="B45" s="1" t="n">
        <v>329628</v>
      </c>
    </row>
    <row r="46" customFormat="false" ht="12.8" hidden="false" customHeight="false" outlineLevel="0" collapsed="false">
      <c r="A46" s="1" t="s">
        <v>51</v>
      </c>
      <c r="B46" s="1" t="n">
        <v>349228</v>
      </c>
    </row>
    <row r="47" customFormat="false" ht="12.8" hidden="false" customHeight="false" outlineLevel="0" collapsed="false">
      <c r="A47" s="1" t="s">
        <v>52</v>
      </c>
      <c r="B47" s="1" t="n">
        <v>369994</v>
      </c>
    </row>
    <row r="48" customFormat="false" ht="12.8" hidden="false" customHeight="false" outlineLevel="0" collapsed="false">
      <c r="A48" s="1" t="s">
        <v>53</v>
      </c>
      <c r="B48" s="1" t="n">
        <v>391995</v>
      </c>
    </row>
    <row r="49" customFormat="false" ht="12.8" hidden="false" customHeight="false" outlineLevel="0" collapsed="false">
      <c r="A49" s="1" t="s">
        <v>54</v>
      </c>
      <c r="B49" s="1" t="n">
        <v>415305</v>
      </c>
    </row>
    <row r="50" customFormat="false" ht="12.8" hidden="false" customHeight="false" outlineLevel="0" collapsed="false">
      <c r="A50" s="1" t="s">
        <v>55</v>
      </c>
      <c r="B50" s="1" t="s">
        <v>56</v>
      </c>
    </row>
    <row r="51" customFormat="false" ht="12.8" hidden="false" customHeight="false" outlineLevel="0" collapsed="false">
      <c r="A51" s="1" t="s">
        <v>57</v>
      </c>
      <c r="B51" s="1" t="n">
        <v>466164</v>
      </c>
    </row>
    <row r="52" customFormat="false" ht="12.8" hidden="false" customHeight="false" outlineLevel="0" collapsed="false">
      <c r="A52" s="1" t="s">
        <v>58</v>
      </c>
      <c r="B52" s="1" t="n">
        <v>493883</v>
      </c>
    </row>
    <row r="53" customFormat="false" ht="12.8" hidden="false" customHeight="false" outlineLevel="0" collapsed="false">
      <c r="A53" s="1" t="s">
        <v>59</v>
      </c>
      <c r="B53" s="1" t="n">
        <v>523251</v>
      </c>
    </row>
    <row r="54" customFormat="false" ht="12.8" hidden="false" customHeight="false" outlineLevel="0" collapsed="false">
      <c r="A54" s="1" t="s">
        <v>60</v>
      </c>
      <c r="B54" s="1" t="n">
        <v>554365</v>
      </c>
    </row>
    <row r="55" customFormat="false" ht="12.8" hidden="false" customHeight="false" outlineLevel="0" collapsed="false">
      <c r="A55" s="1" t="s">
        <v>61</v>
      </c>
      <c r="B55" s="1" t="s">
        <v>62</v>
      </c>
    </row>
    <row r="56" customFormat="false" ht="12.8" hidden="false" customHeight="false" outlineLevel="0" collapsed="false">
      <c r="A56" s="1" t="s">
        <v>63</v>
      </c>
      <c r="B56" s="1" t="n">
        <v>622254</v>
      </c>
    </row>
    <row r="57" customFormat="false" ht="12.8" hidden="false" customHeight="false" outlineLevel="0" collapsed="false">
      <c r="A57" s="1" t="s">
        <v>64</v>
      </c>
      <c r="B57" s="1" t="n">
        <v>659255</v>
      </c>
    </row>
    <row r="58" customFormat="false" ht="12.8" hidden="false" customHeight="false" outlineLevel="0" collapsed="false">
      <c r="A58" s="1" t="s">
        <v>65</v>
      </c>
      <c r="B58" s="1" t="n">
        <v>698456</v>
      </c>
    </row>
    <row r="59" customFormat="false" ht="12.8" hidden="false" customHeight="false" outlineLevel="0" collapsed="false">
      <c r="A59" s="1" t="s">
        <v>66</v>
      </c>
      <c r="B59" s="1" t="n">
        <v>739989</v>
      </c>
    </row>
    <row r="60" customFormat="false" ht="12.8" hidden="false" customHeight="false" outlineLevel="0" collapsed="false">
      <c r="A60" s="1" t="s">
        <v>67</v>
      </c>
      <c r="B60" s="1" t="n">
        <v>783991</v>
      </c>
    </row>
    <row r="61" customFormat="false" ht="12.8" hidden="false" customHeight="false" outlineLevel="0" collapsed="false">
      <c r="A61" s="1" t="s">
        <v>68</v>
      </c>
      <c r="B61" s="1" t="n">
        <v>830609</v>
      </c>
    </row>
    <row r="62" customFormat="false" ht="12.8" hidden="false" customHeight="false" outlineLevel="0" collapsed="false">
      <c r="A62" s="1" t="s">
        <v>69</v>
      </c>
      <c r="B62" s="1" t="s">
        <v>70</v>
      </c>
    </row>
    <row r="63" customFormat="false" ht="12.8" hidden="false" customHeight="false" outlineLevel="0" collapsed="false">
      <c r="A63" s="1" t="s">
        <v>71</v>
      </c>
      <c r="B63" s="1" t="n">
        <v>932328</v>
      </c>
    </row>
    <row r="64" customFormat="false" ht="12.8" hidden="false" customHeight="false" outlineLevel="0" collapsed="false">
      <c r="A64" s="1" t="s">
        <v>72</v>
      </c>
      <c r="B64" s="1" t="n">
        <v>987767</v>
      </c>
    </row>
    <row r="65" customFormat="false" ht="12.8" hidden="false" customHeight="false" outlineLevel="0" collapsed="false">
      <c r="A65" s="1" t="s">
        <v>73</v>
      </c>
      <c r="B65" s="1" t="n">
        <v>1046502</v>
      </c>
    </row>
    <row r="66" customFormat="false" ht="12.8" hidden="false" customHeight="false" outlineLevel="0" collapsed="false">
      <c r="A66" s="1" t="s">
        <v>74</v>
      </c>
      <c r="B66" s="1" t="n">
        <v>1108731</v>
      </c>
    </row>
    <row r="67" customFormat="false" ht="12.8" hidden="false" customHeight="false" outlineLevel="0" collapsed="false">
      <c r="A67" s="1" t="s">
        <v>75</v>
      </c>
      <c r="B67" s="1" t="n">
        <v>1174659</v>
      </c>
    </row>
    <row r="68" customFormat="false" ht="12.8" hidden="false" customHeight="false" outlineLevel="0" collapsed="false">
      <c r="A68" s="1" t="s">
        <v>76</v>
      </c>
      <c r="B68" s="1" t="n">
        <v>1244508</v>
      </c>
    </row>
    <row r="69" customFormat="false" ht="12.8" hidden="false" customHeight="false" outlineLevel="0" collapsed="false">
      <c r="A69" s="1" t="s">
        <v>77</v>
      </c>
      <c r="B69" s="1" t="s">
        <v>78</v>
      </c>
    </row>
    <row r="70" customFormat="false" ht="12.8" hidden="false" customHeight="false" outlineLevel="0" collapsed="false">
      <c r="A70" s="1" t="s">
        <v>79</v>
      </c>
      <c r="B70" s="1" t="n">
        <v>1396913</v>
      </c>
    </row>
    <row r="71" customFormat="false" ht="12.8" hidden="false" customHeight="false" outlineLevel="0" collapsed="false">
      <c r="A71" s="1" t="s">
        <v>80</v>
      </c>
      <c r="B71" s="1" t="n">
        <v>1479978</v>
      </c>
    </row>
    <row r="72" customFormat="false" ht="12.8" hidden="false" customHeight="false" outlineLevel="0" collapsed="false">
      <c r="A72" s="1" t="s">
        <v>81</v>
      </c>
      <c r="B72" s="1" t="n">
        <v>1567982</v>
      </c>
    </row>
    <row r="73" customFormat="false" ht="12.8" hidden="false" customHeight="false" outlineLevel="0" collapsed="false">
      <c r="A73" s="1" t="s">
        <v>82</v>
      </c>
      <c r="B73" s="1" t="n">
        <v>1661219</v>
      </c>
    </row>
    <row r="74" customFormat="false" ht="12.8" hidden="false" customHeight="false" outlineLevel="0" collapsed="false">
      <c r="A74" s="1" t="s">
        <v>83</v>
      </c>
      <c r="B74" s="1" t="s">
        <v>84</v>
      </c>
    </row>
    <row r="75" customFormat="false" ht="12.8" hidden="false" customHeight="false" outlineLevel="0" collapsed="false">
      <c r="A75" s="1" t="s">
        <v>85</v>
      </c>
      <c r="B75" s="1" t="n">
        <v>1864655</v>
      </c>
    </row>
    <row r="76" customFormat="false" ht="12.8" hidden="false" customHeight="false" outlineLevel="0" collapsed="false">
      <c r="A76" s="1" t="s">
        <v>86</v>
      </c>
      <c r="B76" s="1" t="n">
        <v>1975533</v>
      </c>
    </row>
    <row r="77" customFormat="false" ht="12.8" hidden="false" customHeight="false" outlineLevel="0" collapsed="false">
      <c r="A77" s="1" t="s">
        <v>87</v>
      </c>
      <c r="B77" s="1" t="n">
        <v>2093005</v>
      </c>
    </row>
    <row r="78" customFormat="false" ht="12.8" hidden="false" customHeight="false" outlineLevel="0" collapsed="false">
      <c r="A78" s="1" t="s">
        <v>88</v>
      </c>
      <c r="B78" s="1" t="n">
        <v>2217461</v>
      </c>
    </row>
    <row r="79" customFormat="false" ht="12.8" hidden="false" customHeight="false" outlineLevel="0" collapsed="false">
      <c r="A79" s="1" t="s">
        <v>89</v>
      </c>
      <c r="B79" s="1" t="n">
        <v>2349318</v>
      </c>
    </row>
    <row r="80" customFormat="false" ht="12.8" hidden="false" customHeight="false" outlineLevel="0" collapsed="false">
      <c r="A80" s="1" t="s">
        <v>90</v>
      </c>
      <c r="B80" s="1" t="n">
        <v>2489016</v>
      </c>
    </row>
    <row r="81" customFormat="false" ht="12.8" hidden="false" customHeight="false" outlineLevel="0" collapsed="false">
      <c r="A81" s="1" t="s">
        <v>91</v>
      </c>
      <c r="B81" s="1" t="s">
        <v>92</v>
      </c>
    </row>
    <row r="82" customFormat="false" ht="12.8" hidden="false" customHeight="false" outlineLevel="0" collapsed="false">
      <c r="A82" s="1" t="s">
        <v>93</v>
      </c>
      <c r="B82" s="1" t="n">
        <v>2793826</v>
      </c>
    </row>
    <row r="83" customFormat="false" ht="12.8" hidden="false" customHeight="false" outlineLevel="0" collapsed="false">
      <c r="A83" s="1" t="s">
        <v>94</v>
      </c>
      <c r="B83" s="1" t="n">
        <v>2959955</v>
      </c>
    </row>
    <row r="84" customFormat="false" ht="12.8" hidden="false" customHeight="false" outlineLevel="0" collapsed="false">
      <c r="A84" s="1" t="s">
        <v>95</v>
      </c>
      <c r="B84" s="1" t="n">
        <v>3135963</v>
      </c>
    </row>
    <row r="85" customFormat="false" ht="12.8" hidden="false" customHeight="false" outlineLevel="0" collapsed="false">
      <c r="A85" s="1" t="s">
        <v>96</v>
      </c>
      <c r="B85" s="1" t="n">
        <v>3322438</v>
      </c>
    </row>
    <row r="86" customFormat="false" ht="12.8" hidden="false" customHeight="false" outlineLevel="0" collapsed="false">
      <c r="A86" s="1" t="s">
        <v>97</v>
      </c>
      <c r="B86" s="1" t="s">
        <v>98</v>
      </c>
    </row>
    <row r="87" customFormat="false" ht="12.8" hidden="false" customHeight="false" outlineLevel="0" collapsed="false">
      <c r="A87" s="1" t="s">
        <v>99</v>
      </c>
      <c r="B87" s="1" t="s">
        <v>100</v>
      </c>
    </row>
    <row r="88" customFormat="false" ht="12.8" hidden="false" customHeight="false" outlineLevel="0" collapsed="false">
      <c r="A88" s="1" t="s">
        <v>101</v>
      </c>
      <c r="B88" s="1" t="n">
        <v>3951066</v>
      </c>
    </row>
    <row r="89" customFormat="false" ht="12.8" hidden="false" customHeight="false" outlineLevel="0" collapsed="false">
      <c r="A89" s="1" t="s">
        <v>102</v>
      </c>
      <c r="B89" s="1" t="n">
        <v>4186009</v>
      </c>
    </row>
  </sheetData>
  <printOptions headings="true" gridLines="tru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9"/>
  <sheetViews>
    <sheetView showFormulas="false" showGridLines="true" showRowColHeaders="true" showZeros="true" rightToLeft="false" tabSelected="false" showOutlineSymbols="true" defaultGridColor="true" view="normal" topLeftCell="A34" colorId="64" zoomScale="110" zoomScaleNormal="110" zoomScalePageLayoutView="100" workbookViewId="0">
      <selection pane="topLeft" activeCell="B50" activeCellId="0" sqref="B50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3" min="1" style="2" width="11.53"/>
    <col collapsed="false" customWidth="true" hidden="false" outlineLevel="0" max="4" min="4" style="2" width="14.54"/>
  </cols>
  <sheetData>
    <row r="1" customFormat="false" ht="23.85" hidden="false" customHeight="false" outlineLevel="0" collapsed="false">
      <c r="A1" s="3" t="s">
        <v>103</v>
      </c>
      <c r="B1" s="3" t="s">
        <v>104</v>
      </c>
      <c r="C1" s="3" t="s">
        <v>105</v>
      </c>
      <c r="D1" s="4" t="s">
        <v>106</v>
      </c>
    </row>
    <row r="2" customFormat="false" ht="12.8" hidden="false" customHeight="false" outlineLevel="0" collapsed="false">
      <c r="A2" s="5" t="n">
        <v>88</v>
      </c>
      <c r="B2" s="5" t="s">
        <v>107</v>
      </c>
      <c r="C2" s="5" t="s">
        <v>108</v>
      </c>
      <c r="D2" s="5" t="n">
        <v>4186.01</v>
      </c>
    </row>
    <row r="3" customFormat="false" ht="12.8" hidden="false" customHeight="false" outlineLevel="0" collapsed="false">
      <c r="A3" s="5" t="n">
        <v>87</v>
      </c>
      <c r="B3" s="5" t="s">
        <v>109</v>
      </c>
      <c r="C3" s="5" t="s">
        <v>110</v>
      </c>
      <c r="D3" s="5" t="n">
        <v>3951.07</v>
      </c>
    </row>
    <row r="4" customFormat="false" ht="12.8" hidden="false" customHeight="false" outlineLevel="0" collapsed="false">
      <c r="A4" s="5" t="n">
        <v>86</v>
      </c>
      <c r="B4" s="5" t="s">
        <v>111</v>
      </c>
      <c r="C4" s="5" t="s">
        <v>112</v>
      </c>
      <c r="D4" s="5" t="n">
        <v>3729.31</v>
      </c>
    </row>
    <row r="5" customFormat="false" ht="12.8" hidden="false" customHeight="false" outlineLevel="0" collapsed="false">
      <c r="A5" s="5" t="n">
        <v>85</v>
      </c>
      <c r="B5" s="5" t="s">
        <v>113</v>
      </c>
      <c r="C5" s="5" t="s">
        <v>114</v>
      </c>
      <c r="D5" s="5" t="n">
        <v>3520</v>
      </c>
    </row>
    <row r="6" customFormat="false" ht="12.8" hidden="false" customHeight="false" outlineLevel="0" collapsed="false">
      <c r="A6" s="5" t="n">
        <v>84</v>
      </c>
      <c r="B6" s="5" t="s">
        <v>115</v>
      </c>
      <c r="C6" s="5" t="s">
        <v>116</v>
      </c>
      <c r="D6" s="5" t="n">
        <v>3322.44</v>
      </c>
    </row>
    <row r="7" customFormat="false" ht="12.8" hidden="false" customHeight="false" outlineLevel="0" collapsed="false">
      <c r="A7" s="5" t="n">
        <v>83</v>
      </c>
      <c r="B7" s="5" t="s">
        <v>117</v>
      </c>
      <c r="C7" s="5" t="s">
        <v>118</v>
      </c>
      <c r="D7" s="5" t="n">
        <v>3135.96</v>
      </c>
    </row>
    <row r="8" customFormat="false" ht="12.8" hidden="false" customHeight="false" outlineLevel="0" collapsed="false">
      <c r="A8" s="5" t="n">
        <v>82</v>
      </c>
      <c r="B8" s="5" t="s">
        <v>119</v>
      </c>
      <c r="C8" s="5" t="s">
        <v>120</v>
      </c>
      <c r="D8" s="5" t="n">
        <v>2959.96</v>
      </c>
    </row>
    <row r="9" customFormat="false" ht="12.8" hidden="false" customHeight="false" outlineLevel="0" collapsed="false">
      <c r="A9" s="5" t="n">
        <v>81</v>
      </c>
      <c r="B9" s="5" t="s">
        <v>121</v>
      </c>
      <c r="C9" s="5" t="s">
        <v>122</v>
      </c>
      <c r="D9" s="5" t="n">
        <v>2793.83</v>
      </c>
    </row>
    <row r="10" customFormat="false" ht="12.8" hidden="false" customHeight="false" outlineLevel="0" collapsed="false">
      <c r="A10" s="5" t="n">
        <v>80</v>
      </c>
      <c r="B10" s="5" t="s">
        <v>123</v>
      </c>
      <c r="C10" s="5" t="s">
        <v>124</v>
      </c>
      <c r="D10" s="5" t="n">
        <v>2637.02</v>
      </c>
    </row>
    <row r="11" customFormat="false" ht="12.8" hidden="false" customHeight="false" outlineLevel="0" collapsed="false">
      <c r="A11" s="5" t="n">
        <v>79</v>
      </c>
      <c r="B11" s="5" t="s">
        <v>125</v>
      </c>
      <c r="C11" s="5" t="s">
        <v>126</v>
      </c>
      <c r="D11" s="5" t="n">
        <v>2489.02</v>
      </c>
    </row>
    <row r="12" customFormat="false" ht="12.8" hidden="false" customHeight="false" outlineLevel="0" collapsed="false">
      <c r="A12" s="5" t="n">
        <v>78</v>
      </c>
      <c r="B12" s="5" t="s">
        <v>127</v>
      </c>
      <c r="C12" s="5" t="s">
        <v>128</v>
      </c>
      <c r="D12" s="5" t="n">
        <v>2349.32</v>
      </c>
    </row>
    <row r="13" customFormat="false" ht="12.8" hidden="false" customHeight="false" outlineLevel="0" collapsed="false">
      <c r="A13" s="5" t="n">
        <v>77</v>
      </c>
      <c r="B13" s="5" t="s">
        <v>129</v>
      </c>
      <c r="C13" s="5" t="s">
        <v>130</v>
      </c>
      <c r="D13" s="5" t="n">
        <v>2217.46</v>
      </c>
    </row>
    <row r="14" customFormat="false" ht="12.8" hidden="false" customHeight="false" outlineLevel="0" collapsed="false">
      <c r="A14" s="5" t="n">
        <v>76</v>
      </c>
      <c r="B14" s="5" t="s">
        <v>131</v>
      </c>
      <c r="C14" s="5" t="s">
        <v>132</v>
      </c>
      <c r="D14" s="5" t="n">
        <v>2093</v>
      </c>
    </row>
    <row r="15" customFormat="false" ht="12.8" hidden="false" customHeight="false" outlineLevel="0" collapsed="false">
      <c r="A15" s="5" t="n">
        <v>75</v>
      </c>
      <c r="B15" s="5" t="s">
        <v>133</v>
      </c>
      <c r="C15" s="5" t="s">
        <v>134</v>
      </c>
      <c r="D15" s="5" t="n">
        <v>1975.53</v>
      </c>
    </row>
    <row r="16" customFormat="false" ht="12.8" hidden="false" customHeight="false" outlineLevel="0" collapsed="false">
      <c r="A16" s="5" t="n">
        <v>74</v>
      </c>
      <c r="B16" s="5" t="s">
        <v>135</v>
      </c>
      <c r="C16" s="5" t="s">
        <v>136</v>
      </c>
      <c r="D16" s="5" t="n">
        <v>1864.66</v>
      </c>
    </row>
    <row r="17" customFormat="false" ht="12.8" hidden="false" customHeight="false" outlineLevel="0" collapsed="false">
      <c r="A17" s="5" t="n">
        <v>73</v>
      </c>
      <c r="B17" s="5" t="s">
        <v>137</v>
      </c>
      <c r="C17" s="5" t="s">
        <v>138</v>
      </c>
      <c r="D17" s="5" t="n">
        <v>1760</v>
      </c>
    </row>
    <row r="18" customFormat="false" ht="12.8" hidden="false" customHeight="false" outlineLevel="0" collapsed="false">
      <c r="A18" s="5" t="n">
        <v>72</v>
      </c>
      <c r="B18" s="5" t="s">
        <v>139</v>
      </c>
      <c r="C18" s="5" t="s">
        <v>140</v>
      </c>
      <c r="D18" s="5" t="n">
        <v>1661.22</v>
      </c>
    </row>
    <row r="19" customFormat="false" ht="12.8" hidden="false" customHeight="false" outlineLevel="0" collapsed="false">
      <c r="A19" s="5" t="n">
        <v>71</v>
      </c>
      <c r="B19" s="5" t="s">
        <v>141</v>
      </c>
      <c r="C19" s="5" t="s">
        <v>142</v>
      </c>
      <c r="D19" s="5" t="n">
        <v>1567.98</v>
      </c>
    </row>
    <row r="20" customFormat="false" ht="12.8" hidden="false" customHeight="false" outlineLevel="0" collapsed="false">
      <c r="A20" s="5" t="n">
        <v>70</v>
      </c>
      <c r="B20" s="5" t="s">
        <v>143</v>
      </c>
      <c r="C20" s="5" t="s">
        <v>144</v>
      </c>
      <c r="D20" s="5" t="n">
        <v>1479.98</v>
      </c>
    </row>
    <row r="21" customFormat="false" ht="12.8" hidden="false" customHeight="false" outlineLevel="0" collapsed="false">
      <c r="A21" s="5" t="n">
        <v>69</v>
      </c>
      <c r="B21" s="5" t="s">
        <v>145</v>
      </c>
      <c r="C21" s="5" t="s">
        <v>146</v>
      </c>
      <c r="D21" s="5" t="n">
        <v>1396.91</v>
      </c>
    </row>
    <row r="22" customFormat="false" ht="12.8" hidden="false" customHeight="false" outlineLevel="0" collapsed="false">
      <c r="A22" s="5" t="n">
        <v>68</v>
      </c>
      <c r="B22" s="5" t="s">
        <v>147</v>
      </c>
      <c r="C22" s="5" t="s">
        <v>148</v>
      </c>
      <c r="D22" s="5" t="n">
        <v>1318.51</v>
      </c>
    </row>
    <row r="23" customFormat="false" ht="12.8" hidden="false" customHeight="false" outlineLevel="0" collapsed="false">
      <c r="A23" s="5" t="n">
        <v>67</v>
      </c>
      <c r="B23" s="5" t="s">
        <v>149</v>
      </c>
      <c r="C23" s="5" t="s">
        <v>150</v>
      </c>
      <c r="D23" s="5" t="n">
        <v>1244.51</v>
      </c>
    </row>
    <row r="24" customFormat="false" ht="12.8" hidden="false" customHeight="false" outlineLevel="0" collapsed="false">
      <c r="A24" s="5" t="n">
        <v>66</v>
      </c>
      <c r="B24" s="5" t="s">
        <v>151</v>
      </c>
      <c r="C24" s="5" t="s">
        <v>152</v>
      </c>
      <c r="D24" s="5" t="n">
        <v>1174.66</v>
      </c>
    </row>
    <row r="25" customFormat="false" ht="12.8" hidden="false" customHeight="false" outlineLevel="0" collapsed="false">
      <c r="A25" s="5" t="n">
        <v>65</v>
      </c>
      <c r="B25" s="5" t="s">
        <v>153</v>
      </c>
      <c r="C25" s="5" t="s">
        <v>154</v>
      </c>
      <c r="D25" s="5" t="n">
        <v>1108.73</v>
      </c>
    </row>
    <row r="26" customFormat="false" ht="12.8" hidden="false" customHeight="false" outlineLevel="0" collapsed="false">
      <c r="A26" s="5" t="n">
        <v>64</v>
      </c>
      <c r="B26" s="5" t="s">
        <v>155</v>
      </c>
      <c r="C26" s="5" t="s">
        <v>156</v>
      </c>
      <c r="D26" s="5" t="n">
        <v>1046.5</v>
      </c>
    </row>
    <row r="27" customFormat="false" ht="12.8" hidden="false" customHeight="false" outlineLevel="0" collapsed="false">
      <c r="A27" s="5" t="n">
        <v>63</v>
      </c>
      <c r="B27" s="5" t="s">
        <v>157</v>
      </c>
      <c r="C27" s="5" t="s">
        <v>158</v>
      </c>
      <c r="D27" s="5" t="n">
        <v>987.767</v>
      </c>
    </row>
    <row r="28" customFormat="false" ht="12.8" hidden="false" customHeight="false" outlineLevel="0" collapsed="false">
      <c r="A28" s="5" t="n">
        <v>62</v>
      </c>
      <c r="B28" s="5" t="s">
        <v>159</v>
      </c>
      <c r="C28" s="5" t="s">
        <v>160</v>
      </c>
      <c r="D28" s="5" t="n">
        <v>932.328</v>
      </c>
    </row>
    <row r="29" customFormat="false" ht="12.8" hidden="false" customHeight="false" outlineLevel="0" collapsed="false">
      <c r="A29" s="5" t="n">
        <v>61</v>
      </c>
      <c r="B29" s="5" t="s">
        <v>161</v>
      </c>
      <c r="C29" s="5" t="s">
        <v>162</v>
      </c>
      <c r="D29" s="5" t="n">
        <v>880</v>
      </c>
    </row>
    <row r="30" customFormat="false" ht="12.8" hidden="false" customHeight="false" outlineLevel="0" collapsed="false">
      <c r="A30" s="5" t="n">
        <v>60</v>
      </c>
      <c r="B30" s="5" t="s">
        <v>163</v>
      </c>
      <c r="C30" s="5" t="s">
        <v>164</v>
      </c>
      <c r="D30" s="5" t="n">
        <v>830.609</v>
      </c>
    </row>
    <row r="31" customFormat="false" ht="12.8" hidden="false" customHeight="false" outlineLevel="0" collapsed="false">
      <c r="A31" s="5" t="n">
        <v>59</v>
      </c>
      <c r="B31" s="5" t="s">
        <v>165</v>
      </c>
      <c r="C31" s="5" t="s">
        <v>166</v>
      </c>
      <c r="D31" s="5" t="n">
        <v>783.991</v>
      </c>
    </row>
    <row r="32" customFormat="false" ht="12.8" hidden="false" customHeight="false" outlineLevel="0" collapsed="false">
      <c r="A32" s="5" t="n">
        <v>58</v>
      </c>
      <c r="B32" s="5" t="s">
        <v>167</v>
      </c>
      <c r="C32" s="5" t="s">
        <v>168</v>
      </c>
      <c r="D32" s="5" t="n">
        <v>739.989</v>
      </c>
    </row>
    <row r="33" customFormat="false" ht="12.8" hidden="false" customHeight="false" outlineLevel="0" collapsed="false">
      <c r="A33" s="5" t="n">
        <v>57</v>
      </c>
      <c r="B33" s="5" t="s">
        <v>169</v>
      </c>
      <c r="C33" s="5" t="s">
        <v>170</v>
      </c>
      <c r="D33" s="5" t="n">
        <v>698.456</v>
      </c>
    </row>
    <row r="34" customFormat="false" ht="12.8" hidden="false" customHeight="false" outlineLevel="0" collapsed="false">
      <c r="A34" s="5" t="n">
        <v>56</v>
      </c>
      <c r="B34" s="5" t="s">
        <v>171</v>
      </c>
      <c r="C34" s="5" t="s">
        <v>172</v>
      </c>
      <c r="D34" s="5" t="n">
        <v>659.255</v>
      </c>
    </row>
    <row r="35" customFormat="false" ht="12.8" hidden="false" customHeight="false" outlineLevel="0" collapsed="false">
      <c r="A35" s="5" t="n">
        <v>55</v>
      </c>
      <c r="B35" s="5" t="s">
        <v>173</v>
      </c>
      <c r="C35" s="5" t="s">
        <v>174</v>
      </c>
      <c r="D35" s="5" t="n">
        <v>622.254</v>
      </c>
    </row>
    <row r="36" customFormat="false" ht="12.8" hidden="false" customHeight="false" outlineLevel="0" collapsed="false">
      <c r="A36" s="5" t="n">
        <v>54</v>
      </c>
      <c r="B36" s="5" t="s">
        <v>175</v>
      </c>
      <c r="C36" s="5" t="s">
        <v>176</v>
      </c>
      <c r="D36" s="5" t="n">
        <v>587.33</v>
      </c>
    </row>
    <row r="37" customFormat="false" ht="12.8" hidden="false" customHeight="false" outlineLevel="0" collapsed="false">
      <c r="A37" s="5" t="n">
        <v>53</v>
      </c>
      <c r="B37" s="5" t="s">
        <v>177</v>
      </c>
      <c r="C37" s="5" t="s">
        <v>178</v>
      </c>
      <c r="D37" s="5" t="n">
        <v>554.365</v>
      </c>
    </row>
    <row r="38" customFormat="false" ht="12.8" hidden="false" customHeight="false" outlineLevel="0" collapsed="false">
      <c r="A38" s="5" t="n">
        <v>52</v>
      </c>
      <c r="B38" s="5" t="s">
        <v>179</v>
      </c>
      <c r="C38" s="5" t="s">
        <v>180</v>
      </c>
      <c r="D38" s="5" t="n">
        <v>523.251</v>
      </c>
    </row>
    <row r="39" customFormat="false" ht="12.8" hidden="false" customHeight="false" outlineLevel="0" collapsed="false">
      <c r="A39" s="5" t="n">
        <v>51</v>
      </c>
      <c r="B39" s="5" t="s">
        <v>181</v>
      </c>
      <c r="C39" s="5" t="s">
        <v>182</v>
      </c>
      <c r="D39" s="5" t="n">
        <v>493.883</v>
      </c>
    </row>
    <row r="40" customFormat="false" ht="12.8" hidden="false" customHeight="false" outlineLevel="0" collapsed="false">
      <c r="A40" s="5" t="n">
        <v>50</v>
      </c>
      <c r="B40" s="5" t="s">
        <v>183</v>
      </c>
      <c r="C40" s="5" t="s">
        <v>184</v>
      </c>
      <c r="D40" s="5" t="n">
        <v>466.164</v>
      </c>
    </row>
    <row r="41" customFormat="false" ht="29.85" hidden="false" customHeight="true" outlineLevel="0" collapsed="false">
      <c r="A41" s="3" t="n">
        <v>49</v>
      </c>
      <c r="B41" s="3" t="s">
        <v>55</v>
      </c>
      <c r="C41" s="3" t="s">
        <v>185</v>
      </c>
      <c r="D41" s="3" t="s">
        <v>186</v>
      </c>
    </row>
    <row r="42" customFormat="false" ht="12.8" hidden="false" customHeight="false" outlineLevel="0" collapsed="false">
      <c r="A42" s="5" t="n">
        <v>48</v>
      </c>
      <c r="B42" s="5" t="s">
        <v>187</v>
      </c>
      <c r="C42" s="5" t="s">
        <v>188</v>
      </c>
      <c r="D42" s="5" t="n">
        <v>415.305</v>
      </c>
    </row>
    <row r="43" customFormat="false" ht="12.8" hidden="false" customHeight="false" outlineLevel="0" collapsed="false">
      <c r="A43" s="5" t="n">
        <v>47</v>
      </c>
      <c r="B43" s="5" t="s">
        <v>189</v>
      </c>
      <c r="C43" s="5" t="s">
        <v>190</v>
      </c>
      <c r="D43" s="5" t="n">
        <v>391.995</v>
      </c>
    </row>
    <row r="44" customFormat="false" ht="12.8" hidden="false" customHeight="false" outlineLevel="0" collapsed="false">
      <c r="A44" s="5" t="n">
        <v>46</v>
      </c>
      <c r="B44" s="5" t="s">
        <v>191</v>
      </c>
      <c r="C44" s="5" t="s">
        <v>192</v>
      </c>
      <c r="D44" s="5" t="n">
        <v>369.994</v>
      </c>
    </row>
    <row r="45" customFormat="false" ht="12.8" hidden="false" customHeight="false" outlineLevel="0" collapsed="false">
      <c r="A45" s="5" t="n">
        <v>45</v>
      </c>
      <c r="B45" s="5" t="s">
        <v>193</v>
      </c>
      <c r="C45" s="5" t="s">
        <v>194</v>
      </c>
      <c r="D45" s="5" t="n">
        <v>349.228</v>
      </c>
    </row>
    <row r="46" customFormat="false" ht="12.8" hidden="false" customHeight="false" outlineLevel="0" collapsed="false">
      <c r="A46" s="5" t="n">
        <v>44</v>
      </c>
      <c r="B46" s="5" t="s">
        <v>195</v>
      </c>
      <c r="C46" s="5" t="s">
        <v>196</v>
      </c>
      <c r="D46" s="5" t="n">
        <v>329.628</v>
      </c>
    </row>
    <row r="47" customFormat="false" ht="12.8" hidden="false" customHeight="false" outlineLevel="0" collapsed="false">
      <c r="A47" s="5" t="n">
        <v>43</v>
      </c>
      <c r="B47" s="5" t="s">
        <v>197</v>
      </c>
      <c r="C47" s="5" t="s">
        <v>198</v>
      </c>
      <c r="D47" s="5" t="n">
        <v>311.127</v>
      </c>
    </row>
    <row r="48" customFormat="false" ht="12.8" hidden="false" customHeight="false" outlineLevel="0" collapsed="false">
      <c r="A48" s="5" t="n">
        <v>42</v>
      </c>
      <c r="B48" s="5" t="s">
        <v>199</v>
      </c>
      <c r="C48" s="5" t="s">
        <v>200</v>
      </c>
      <c r="D48" s="5" t="n">
        <v>293.665</v>
      </c>
    </row>
    <row r="49" customFormat="false" ht="12.8" hidden="false" customHeight="false" outlineLevel="0" collapsed="false">
      <c r="A49" s="5" t="n">
        <v>41</v>
      </c>
      <c r="B49" s="5" t="s">
        <v>201</v>
      </c>
      <c r="C49" s="5" t="s">
        <v>202</v>
      </c>
      <c r="D49" s="5" t="n">
        <v>277.183</v>
      </c>
    </row>
    <row r="50" customFormat="false" ht="12.8" hidden="false" customHeight="false" outlineLevel="0" collapsed="false">
      <c r="A50" s="5" t="n">
        <v>40</v>
      </c>
      <c r="B50" s="5" t="s">
        <v>46</v>
      </c>
      <c r="C50" s="5" t="s">
        <v>203</v>
      </c>
      <c r="D50" s="5" t="n">
        <v>261.626</v>
      </c>
    </row>
    <row r="51" customFormat="false" ht="12.8" hidden="false" customHeight="false" outlineLevel="0" collapsed="false">
      <c r="A51" s="5" t="n">
        <v>39</v>
      </c>
      <c r="B51" s="5" t="s">
        <v>204</v>
      </c>
      <c r="C51" s="5" t="s">
        <v>205</v>
      </c>
      <c r="D51" s="5" t="n">
        <v>246.942</v>
      </c>
    </row>
    <row r="52" customFormat="false" ht="12.8" hidden="false" customHeight="false" outlineLevel="0" collapsed="false">
      <c r="A52" s="5" t="n">
        <v>38</v>
      </c>
      <c r="B52" s="5" t="s">
        <v>206</v>
      </c>
      <c r="C52" s="5" t="s">
        <v>207</v>
      </c>
      <c r="D52" s="5" t="n">
        <v>233.082</v>
      </c>
    </row>
    <row r="53" customFormat="false" ht="12.8" hidden="false" customHeight="false" outlineLevel="0" collapsed="false">
      <c r="A53" s="5" t="n">
        <v>37</v>
      </c>
      <c r="B53" s="5" t="s">
        <v>208</v>
      </c>
      <c r="C53" s="5" t="s">
        <v>209</v>
      </c>
      <c r="D53" s="5" t="n">
        <v>220</v>
      </c>
    </row>
    <row r="54" customFormat="false" ht="12.8" hidden="false" customHeight="false" outlineLevel="0" collapsed="false">
      <c r="A54" s="5" t="n">
        <v>36</v>
      </c>
      <c r="B54" s="5" t="s">
        <v>210</v>
      </c>
      <c r="C54" s="5" t="s">
        <v>211</v>
      </c>
      <c r="D54" s="5" t="n">
        <v>207.652</v>
      </c>
    </row>
    <row r="55" customFormat="false" ht="12.8" hidden="false" customHeight="false" outlineLevel="0" collapsed="false">
      <c r="A55" s="5" t="n">
        <v>35</v>
      </c>
      <c r="B55" s="5" t="s">
        <v>212</v>
      </c>
      <c r="C55" s="5" t="s">
        <v>213</v>
      </c>
      <c r="D55" s="5" t="n">
        <v>195.998</v>
      </c>
    </row>
    <row r="56" customFormat="false" ht="12.8" hidden="false" customHeight="false" outlineLevel="0" collapsed="false">
      <c r="A56" s="5" t="n">
        <v>34</v>
      </c>
      <c r="B56" s="5" t="s">
        <v>214</v>
      </c>
      <c r="C56" s="5" t="s">
        <v>215</v>
      </c>
      <c r="D56" s="5" t="n">
        <v>184.997</v>
      </c>
    </row>
    <row r="57" customFormat="false" ht="12.8" hidden="false" customHeight="false" outlineLevel="0" collapsed="false">
      <c r="A57" s="5" t="n">
        <v>33</v>
      </c>
      <c r="B57" s="5" t="s">
        <v>216</v>
      </c>
      <c r="C57" s="5" t="s">
        <v>217</v>
      </c>
      <c r="D57" s="5" t="n">
        <v>174.614</v>
      </c>
    </row>
    <row r="58" customFormat="false" ht="12.8" hidden="false" customHeight="false" outlineLevel="0" collapsed="false">
      <c r="A58" s="5" t="n">
        <v>32</v>
      </c>
      <c r="B58" s="5" t="s">
        <v>218</v>
      </c>
      <c r="C58" s="5" t="s">
        <v>219</v>
      </c>
      <c r="D58" s="5" t="n">
        <v>164.814</v>
      </c>
    </row>
    <row r="59" customFormat="false" ht="12.8" hidden="false" customHeight="false" outlineLevel="0" collapsed="false">
      <c r="A59" s="5" t="n">
        <v>31</v>
      </c>
      <c r="B59" s="5" t="s">
        <v>220</v>
      </c>
      <c r="C59" s="5" t="s">
        <v>221</v>
      </c>
      <c r="D59" s="5" t="n">
        <v>155.563</v>
      </c>
    </row>
    <row r="60" customFormat="false" ht="12.8" hidden="false" customHeight="false" outlineLevel="0" collapsed="false">
      <c r="A60" s="5" t="n">
        <v>30</v>
      </c>
      <c r="B60" s="5" t="s">
        <v>222</v>
      </c>
      <c r="C60" s="5" t="s">
        <v>223</v>
      </c>
      <c r="D60" s="5" t="n">
        <v>146.832</v>
      </c>
    </row>
    <row r="61" customFormat="false" ht="12.8" hidden="false" customHeight="false" outlineLevel="0" collapsed="false">
      <c r="A61" s="5" t="n">
        <v>29</v>
      </c>
      <c r="B61" s="5" t="s">
        <v>224</v>
      </c>
      <c r="C61" s="5" t="s">
        <v>225</v>
      </c>
      <c r="D61" s="5" t="n">
        <v>138.591</v>
      </c>
    </row>
    <row r="62" customFormat="false" ht="12.8" hidden="false" customHeight="false" outlineLevel="0" collapsed="false">
      <c r="A62" s="5" t="n">
        <v>28</v>
      </c>
      <c r="B62" s="5" t="s">
        <v>226</v>
      </c>
      <c r="C62" s="5" t="s">
        <v>227</v>
      </c>
      <c r="D62" s="5" t="n">
        <v>130.813</v>
      </c>
    </row>
    <row r="63" customFormat="false" ht="12.8" hidden="false" customHeight="false" outlineLevel="0" collapsed="false">
      <c r="A63" s="5" t="n">
        <v>27</v>
      </c>
      <c r="B63" s="5" t="s">
        <v>228</v>
      </c>
      <c r="C63" s="5" t="s">
        <v>229</v>
      </c>
      <c r="D63" s="5" t="n">
        <v>123.471</v>
      </c>
    </row>
    <row r="64" customFormat="false" ht="12.8" hidden="false" customHeight="false" outlineLevel="0" collapsed="false">
      <c r="A64" s="5" t="n">
        <v>26</v>
      </c>
      <c r="B64" s="5" t="s">
        <v>230</v>
      </c>
      <c r="C64" s="5" t="s">
        <v>231</v>
      </c>
      <c r="D64" s="5" t="n">
        <v>116.541</v>
      </c>
    </row>
    <row r="65" customFormat="false" ht="12.8" hidden="false" customHeight="false" outlineLevel="0" collapsed="false">
      <c r="A65" s="5" t="n">
        <v>25</v>
      </c>
      <c r="B65" s="5" t="s">
        <v>232</v>
      </c>
      <c r="C65" s="5" t="s">
        <v>233</v>
      </c>
      <c r="D65" s="5" t="n">
        <v>110</v>
      </c>
    </row>
    <row r="66" customFormat="false" ht="12.8" hidden="false" customHeight="false" outlineLevel="0" collapsed="false">
      <c r="A66" s="5" t="n">
        <v>24</v>
      </c>
      <c r="B66" s="5" t="s">
        <v>234</v>
      </c>
      <c r="C66" s="5" t="s">
        <v>235</v>
      </c>
      <c r="D66" s="5" t="n">
        <v>103.826</v>
      </c>
    </row>
    <row r="67" customFormat="false" ht="12.8" hidden="false" customHeight="false" outlineLevel="0" collapsed="false">
      <c r="A67" s="5" t="n">
        <v>23</v>
      </c>
      <c r="B67" s="5" t="s">
        <v>236</v>
      </c>
      <c r="C67" s="5" t="s">
        <v>237</v>
      </c>
      <c r="D67" s="5" t="n">
        <v>97.9989</v>
      </c>
    </row>
    <row r="68" customFormat="false" ht="12.8" hidden="false" customHeight="false" outlineLevel="0" collapsed="false">
      <c r="A68" s="5" t="n">
        <v>22</v>
      </c>
      <c r="B68" s="5" t="s">
        <v>238</v>
      </c>
      <c r="C68" s="5" t="s">
        <v>239</v>
      </c>
      <c r="D68" s="5" t="n">
        <v>92.4986</v>
      </c>
    </row>
    <row r="69" customFormat="false" ht="12.8" hidden="false" customHeight="false" outlineLevel="0" collapsed="false">
      <c r="A69" s="5" t="n">
        <v>21</v>
      </c>
      <c r="B69" s="5" t="s">
        <v>240</v>
      </c>
      <c r="C69" s="5" t="s">
        <v>241</v>
      </c>
      <c r="D69" s="5" t="n">
        <v>87.3071</v>
      </c>
    </row>
    <row r="70" customFormat="false" ht="12.8" hidden="false" customHeight="false" outlineLevel="0" collapsed="false">
      <c r="A70" s="5" t="n">
        <v>20</v>
      </c>
      <c r="B70" s="5" t="s">
        <v>242</v>
      </c>
      <c r="C70" s="5" t="s">
        <v>243</v>
      </c>
      <c r="D70" s="5" t="n">
        <v>82.4069</v>
      </c>
    </row>
    <row r="71" customFormat="false" ht="12.8" hidden="false" customHeight="false" outlineLevel="0" collapsed="false">
      <c r="A71" s="5" t="n">
        <v>19</v>
      </c>
      <c r="B71" s="5" t="s">
        <v>244</v>
      </c>
      <c r="C71" s="5" t="s">
        <v>245</v>
      </c>
      <c r="D71" s="5" t="n">
        <v>77.7817</v>
      </c>
    </row>
    <row r="72" customFormat="false" ht="12.8" hidden="false" customHeight="false" outlineLevel="0" collapsed="false">
      <c r="A72" s="5" t="n">
        <v>18</v>
      </c>
      <c r="B72" s="5" t="s">
        <v>246</v>
      </c>
      <c r="C72" s="5" t="s">
        <v>247</v>
      </c>
      <c r="D72" s="5" t="n">
        <v>73.4162</v>
      </c>
    </row>
    <row r="73" customFormat="false" ht="12.8" hidden="false" customHeight="false" outlineLevel="0" collapsed="false">
      <c r="A73" s="5" t="n">
        <v>17</v>
      </c>
      <c r="B73" s="5" t="s">
        <v>248</v>
      </c>
      <c r="C73" s="5" t="s">
        <v>249</v>
      </c>
      <c r="D73" s="5" t="n">
        <v>69.2957</v>
      </c>
    </row>
    <row r="74" customFormat="false" ht="12.8" hidden="false" customHeight="false" outlineLevel="0" collapsed="false">
      <c r="A74" s="5" t="n">
        <v>16</v>
      </c>
      <c r="B74" s="5" t="s">
        <v>250</v>
      </c>
      <c r="C74" s="5" t="s">
        <v>251</v>
      </c>
      <c r="D74" s="5" t="n">
        <v>65.4064</v>
      </c>
    </row>
    <row r="75" customFormat="false" ht="12.8" hidden="false" customHeight="false" outlineLevel="0" collapsed="false">
      <c r="A75" s="5" t="n">
        <v>15</v>
      </c>
      <c r="B75" s="5" t="s">
        <v>252</v>
      </c>
      <c r="C75" s="5" t="s">
        <v>253</v>
      </c>
      <c r="D75" s="5" t="n">
        <v>61.7354</v>
      </c>
    </row>
    <row r="76" customFormat="false" ht="12.8" hidden="false" customHeight="false" outlineLevel="0" collapsed="false">
      <c r="A76" s="5" t="n">
        <v>14</v>
      </c>
      <c r="B76" s="5" t="s">
        <v>254</v>
      </c>
      <c r="C76" s="5" t="s">
        <v>255</v>
      </c>
      <c r="D76" s="5" t="n">
        <v>58.2705</v>
      </c>
    </row>
    <row r="77" customFormat="false" ht="12.8" hidden="false" customHeight="false" outlineLevel="0" collapsed="false">
      <c r="A77" s="5" t="n">
        <v>13</v>
      </c>
      <c r="B77" s="5" t="s">
        <v>256</v>
      </c>
      <c r="C77" s="5" t="s">
        <v>256</v>
      </c>
      <c r="D77" s="5" t="n">
        <v>55</v>
      </c>
    </row>
    <row r="78" customFormat="false" ht="12.8" hidden="false" customHeight="false" outlineLevel="0" collapsed="false">
      <c r="A78" s="5" t="n">
        <v>12</v>
      </c>
      <c r="B78" s="5" t="s">
        <v>257</v>
      </c>
      <c r="C78" s="5" t="s">
        <v>258</v>
      </c>
      <c r="D78" s="5" t="n">
        <v>51.9131</v>
      </c>
    </row>
    <row r="79" customFormat="false" ht="12.8" hidden="false" customHeight="false" outlineLevel="0" collapsed="false">
      <c r="A79" s="5" t="n">
        <v>11</v>
      </c>
      <c r="B79" s="5" t="s">
        <v>259</v>
      </c>
      <c r="C79" s="5" t="s">
        <v>259</v>
      </c>
      <c r="D79" s="5" t="n">
        <v>48.9994</v>
      </c>
    </row>
    <row r="80" customFormat="false" ht="12.8" hidden="false" customHeight="false" outlineLevel="0" collapsed="false">
      <c r="A80" s="5" t="n">
        <v>10</v>
      </c>
      <c r="B80" s="5" t="s">
        <v>260</v>
      </c>
      <c r="C80" s="5" t="s">
        <v>261</v>
      </c>
      <c r="D80" s="5" t="n">
        <v>46.2493</v>
      </c>
    </row>
    <row r="81" customFormat="false" ht="12.8" hidden="false" customHeight="false" outlineLevel="0" collapsed="false">
      <c r="A81" s="5" t="n">
        <v>9</v>
      </c>
      <c r="B81" s="5" t="s">
        <v>262</v>
      </c>
      <c r="C81" s="5" t="s">
        <v>262</v>
      </c>
      <c r="D81" s="5" t="n">
        <v>43.6535</v>
      </c>
    </row>
    <row r="82" customFormat="false" ht="12.8" hidden="false" customHeight="false" outlineLevel="0" collapsed="false">
      <c r="A82" s="5" t="n">
        <v>8</v>
      </c>
      <c r="B82" s="5" t="s">
        <v>263</v>
      </c>
      <c r="C82" s="5" t="s">
        <v>263</v>
      </c>
      <c r="D82" s="5" t="n">
        <v>41.2034</v>
      </c>
    </row>
    <row r="83" customFormat="false" ht="12.8" hidden="false" customHeight="false" outlineLevel="0" collapsed="false">
      <c r="A83" s="5" t="n">
        <v>7</v>
      </c>
      <c r="B83" s="5" t="s">
        <v>264</v>
      </c>
      <c r="C83" s="5" t="s">
        <v>265</v>
      </c>
      <c r="D83" s="5" t="n">
        <v>38.8909</v>
      </c>
    </row>
    <row r="84" customFormat="false" ht="12.8" hidden="false" customHeight="false" outlineLevel="0" collapsed="false">
      <c r="A84" s="5" t="n">
        <v>6</v>
      </c>
      <c r="B84" s="5" t="s">
        <v>266</v>
      </c>
      <c r="C84" s="5" t="s">
        <v>266</v>
      </c>
      <c r="D84" s="5" t="n">
        <v>36.7081</v>
      </c>
    </row>
    <row r="85" customFormat="false" ht="12.8" hidden="false" customHeight="false" outlineLevel="0" collapsed="false">
      <c r="A85" s="5" t="n">
        <v>5</v>
      </c>
      <c r="B85" s="5" t="s">
        <v>267</v>
      </c>
      <c r="C85" s="5" t="s">
        <v>268</v>
      </c>
      <c r="D85" s="5" t="n">
        <v>34.6478</v>
      </c>
    </row>
    <row r="86" customFormat="false" ht="12.8" hidden="false" customHeight="false" outlineLevel="0" collapsed="false">
      <c r="A86" s="5" t="n">
        <v>4</v>
      </c>
      <c r="B86" s="5" t="s">
        <v>269</v>
      </c>
      <c r="C86" s="5" t="s">
        <v>269</v>
      </c>
      <c r="D86" s="5" t="n">
        <v>32.7032</v>
      </c>
    </row>
    <row r="87" customFormat="false" ht="12.8" hidden="false" customHeight="false" outlineLevel="0" collapsed="false">
      <c r="A87" s="5" t="n">
        <v>3</v>
      </c>
      <c r="B87" s="5" t="s">
        <v>270</v>
      </c>
      <c r="C87" s="5" t="s">
        <v>271</v>
      </c>
      <c r="D87" s="5" t="n">
        <v>30.8677</v>
      </c>
    </row>
    <row r="88" customFormat="false" ht="12.8" hidden="false" customHeight="false" outlineLevel="0" collapsed="false">
      <c r="A88" s="5" t="n">
        <v>2</v>
      </c>
      <c r="B88" s="5" t="s">
        <v>272</v>
      </c>
      <c r="C88" s="5" t="s">
        <v>273</v>
      </c>
      <c r="D88" s="5" t="n">
        <v>29.1352</v>
      </c>
    </row>
    <row r="89" customFormat="false" ht="12.8" hidden="false" customHeight="false" outlineLevel="0" collapsed="false">
      <c r="A89" s="5" t="n">
        <v>1</v>
      </c>
      <c r="B89" s="5" t="s">
        <v>274</v>
      </c>
      <c r="C89" s="5" t="s">
        <v>232</v>
      </c>
      <c r="D89" s="5" t="n">
        <v>27.5</v>
      </c>
    </row>
  </sheetData>
  <hyperlinks>
    <hyperlink ref="D1" r:id="rId1" display="Frequenz (Hz)&#10;(Kammerton 440 Hz) "/>
  </hyperlinks>
  <printOptions headings="true" gridLines="true" gridLinesSet="true" horizontalCentered="false" verticalCentered="false"/>
  <pageMargins left="0.7875" right="0.7875" top="0.749305555555556" bottom="0.63125" header="0.511805555555556" footer="0.393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J10" activeCellId="0" sqref="J10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3" min="1" style="2" width="11.53"/>
    <col collapsed="false" customWidth="true" hidden="false" outlineLevel="0" max="4" min="4" style="2" width="14.54"/>
    <col collapsed="false" customWidth="false" hidden="false" outlineLevel="0" max="5" min="5" style="2" width="11.53"/>
    <col collapsed="false" customWidth="true" hidden="false" outlineLevel="0" max="6" min="6" style="6" width="5.18"/>
    <col collapsed="false" customWidth="true" hidden="false" outlineLevel="0" max="7" min="7" style="7" width="18.34"/>
    <col collapsed="false" customWidth="true" hidden="false" outlineLevel="0" max="8" min="8" style="7" width="19.21"/>
  </cols>
  <sheetData>
    <row r="1" s="11" customFormat="true" ht="12.8" hidden="false" customHeight="false" outlineLevel="0" collapsed="false">
      <c r="A1" s="8" t="s">
        <v>275</v>
      </c>
      <c r="B1" s="5"/>
      <c r="C1" s="5"/>
      <c r="D1" s="5"/>
      <c r="E1" s="5"/>
      <c r="F1" s="9"/>
      <c r="G1" s="10"/>
      <c r="H1" s="10"/>
    </row>
    <row r="2" s="11" customFormat="true" ht="12.8" hidden="false" customHeight="false" outlineLevel="0" collapsed="false">
      <c r="A2" s="5"/>
      <c r="B2" s="5"/>
      <c r="C2" s="5"/>
      <c r="D2" s="5"/>
      <c r="E2" s="5"/>
      <c r="F2" s="9"/>
      <c r="G2" s="10"/>
      <c r="H2" s="10"/>
    </row>
    <row r="3" s="11" customFormat="true" ht="12.8" hidden="false" customHeight="false" outlineLevel="0" collapsed="false">
      <c r="A3" s="5"/>
      <c r="B3" s="5"/>
      <c r="C3" s="5"/>
      <c r="D3" s="5"/>
      <c r="E3" s="5"/>
      <c r="F3" s="9"/>
      <c r="G3" s="10"/>
      <c r="H3" s="10"/>
    </row>
    <row r="4" s="11" customFormat="true" ht="12.8" hidden="false" customHeight="false" outlineLevel="0" collapsed="false">
      <c r="A4" s="5"/>
      <c r="B4" s="5"/>
      <c r="C4" s="5"/>
      <c r="D4" s="5"/>
      <c r="E4" s="5"/>
      <c r="F4" s="9"/>
      <c r="G4" s="10"/>
      <c r="H4" s="10"/>
    </row>
    <row r="5" s="11" customFormat="true" ht="12.8" hidden="false" customHeight="false" outlineLevel="0" collapsed="false">
      <c r="A5" s="5"/>
      <c r="B5" s="5"/>
      <c r="C5" s="5"/>
      <c r="D5" s="5"/>
      <c r="E5" s="5"/>
      <c r="F5" s="9"/>
      <c r="G5" s="12" t="s">
        <v>276</v>
      </c>
      <c r="H5" s="12" t="s">
        <v>277</v>
      </c>
    </row>
    <row r="6" s="11" customFormat="true" ht="12.8" hidden="false" customHeight="false" outlineLevel="0" collapsed="false">
      <c r="A6" s="5"/>
      <c r="B6" s="5"/>
      <c r="C6" s="5"/>
      <c r="D6" s="5"/>
      <c r="E6" s="5"/>
      <c r="F6" s="9"/>
      <c r="G6" s="10"/>
      <c r="H6" s="10"/>
    </row>
    <row r="7" customFormat="false" ht="23.85" hidden="false" customHeight="false" outlineLevel="0" collapsed="false">
      <c r="A7" s="3" t="s">
        <v>103</v>
      </c>
      <c r="B7" s="3" t="s">
        <v>104</v>
      </c>
      <c r="C7" s="3" t="s">
        <v>105</v>
      </c>
      <c r="D7" s="4" t="s">
        <v>106</v>
      </c>
      <c r="E7" s="3"/>
    </row>
    <row r="8" customFormat="false" ht="12.8" hidden="false" customHeight="false" outlineLevel="0" collapsed="false">
      <c r="A8" s="5" t="n">
        <v>88</v>
      </c>
      <c r="B8" s="5" t="s">
        <v>107</v>
      </c>
      <c r="C8" s="5" t="s">
        <v>108</v>
      </c>
      <c r="D8" s="5" t="n">
        <v>4186.01</v>
      </c>
      <c r="E8" s="5"/>
      <c r="F8" s="6" t="n">
        <f aca="false">F9+1</f>
        <v>48</v>
      </c>
      <c r="H8" s="7" t="n">
        <f aca="false">((2^(1/12))^F8)*$G$56</f>
        <v>4186.00904480959</v>
      </c>
    </row>
    <row r="9" customFormat="false" ht="12.8" hidden="false" customHeight="false" outlineLevel="0" collapsed="false">
      <c r="A9" s="5" t="n">
        <v>87</v>
      </c>
      <c r="B9" s="5" t="s">
        <v>109</v>
      </c>
      <c r="C9" s="5" t="s">
        <v>110</v>
      </c>
      <c r="D9" s="5" t="n">
        <v>3951.07</v>
      </c>
      <c r="E9" s="5"/>
      <c r="F9" s="6" t="n">
        <f aca="false">F10+1</f>
        <v>47</v>
      </c>
      <c r="H9" s="7" t="n">
        <f aca="false">((2^(1/12))^F9)*$G$56</f>
        <v>3951.066410049</v>
      </c>
    </row>
    <row r="10" customFormat="false" ht="12.8" hidden="false" customHeight="false" outlineLevel="0" collapsed="false">
      <c r="A10" s="5" t="n">
        <v>86</v>
      </c>
      <c r="B10" s="5" t="s">
        <v>111</v>
      </c>
      <c r="C10" s="5" t="s">
        <v>112</v>
      </c>
      <c r="D10" s="5" t="n">
        <v>3729.31</v>
      </c>
      <c r="E10" s="5"/>
      <c r="F10" s="6" t="n">
        <f aca="false">F11+1</f>
        <v>46</v>
      </c>
      <c r="H10" s="7" t="n">
        <f aca="false">((2^(1/12))^F10)*$G$56</f>
        <v>3729.31009214473</v>
      </c>
    </row>
    <row r="11" customFormat="false" ht="12.8" hidden="false" customHeight="false" outlineLevel="0" collapsed="false">
      <c r="A11" s="5" t="n">
        <v>85</v>
      </c>
      <c r="B11" s="5" t="s">
        <v>113</v>
      </c>
      <c r="C11" s="5" t="s">
        <v>114</v>
      </c>
      <c r="D11" s="5" t="n">
        <v>3520</v>
      </c>
      <c r="E11" s="5"/>
      <c r="F11" s="6" t="n">
        <f aca="false">F12+1</f>
        <v>45</v>
      </c>
      <c r="H11" s="7" t="n">
        <f aca="false">((2^(1/12))^F11)*$G$56</f>
        <v>3520.00000000001</v>
      </c>
    </row>
    <row r="12" customFormat="false" ht="12.8" hidden="false" customHeight="false" outlineLevel="0" collapsed="false">
      <c r="A12" s="5" t="n">
        <v>84</v>
      </c>
      <c r="B12" s="5" t="s">
        <v>115</v>
      </c>
      <c r="C12" s="5" t="s">
        <v>116</v>
      </c>
      <c r="D12" s="5" t="n">
        <v>3322.44</v>
      </c>
      <c r="E12" s="5"/>
      <c r="F12" s="6" t="n">
        <f aca="false">F13+1</f>
        <v>44</v>
      </c>
      <c r="H12" s="7" t="n">
        <f aca="false">((2^(1/12))^F12)*$G$56</f>
        <v>3322.43758063957</v>
      </c>
    </row>
    <row r="13" customFormat="false" ht="12.8" hidden="false" customHeight="false" outlineLevel="0" collapsed="false">
      <c r="A13" s="5" t="n">
        <v>83</v>
      </c>
      <c r="B13" s="5" t="s">
        <v>117</v>
      </c>
      <c r="C13" s="5" t="s">
        <v>118</v>
      </c>
      <c r="D13" s="5" t="n">
        <v>3135.96</v>
      </c>
      <c r="E13" s="5"/>
      <c r="F13" s="6" t="n">
        <f aca="false">F14+1</f>
        <v>43</v>
      </c>
      <c r="H13" s="7" t="n">
        <f aca="false">((2^(1/12))^F13)*$G$56</f>
        <v>3135.963487854</v>
      </c>
    </row>
    <row r="14" customFormat="false" ht="12.8" hidden="false" customHeight="false" outlineLevel="0" collapsed="false">
      <c r="A14" s="5" t="n">
        <v>82</v>
      </c>
      <c r="B14" s="5" t="s">
        <v>119</v>
      </c>
      <c r="C14" s="5" t="s">
        <v>120</v>
      </c>
      <c r="D14" s="5" t="n">
        <v>2959.96</v>
      </c>
      <c r="E14" s="5"/>
      <c r="F14" s="6" t="n">
        <f aca="false">F15+1</f>
        <v>42</v>
      </c>
      <c r="H14" s="7" t="n">
        <f aca="false">((2^(1/12))^F14)*$G$56</f>
        <v>2959.95538169308</v>
      </c>
    </row>
    <row r="15" customFormat="false" ht="12.8" hidden="false" customHeight="false" outlineLevel="0" collapsed="false">
      <c r="A15" s="5" t="n">
        <v>81</v>
      </c>
      <c r="B15" s="5" t="s">
        <v>121</v>
      </c>
      <c r="C15" s="5" t="s">
        <v>122</v>
      </c>
      <c r="D15" s="5" t="n">
        <v>2793.83</v>
      </c>
      <c r="E15" s="5"/>
      <c r="F15" s="6" t="n">
        <f aca="false">F16+1</f>
        <v>41</v>
      </c>
      <c r="H15" s="7" t="n">
        <f aca="false">((2^(1/12))^F15)*$G$56</f>
        <v>2793.82585146404</v>
      </c>
    </row>
    <row r="16" customFormat="false" ht="12.8" hidden="false" customHeight="false" outlineLevel="0" collapsed="false">
      <c r="A16" s="5" t="n">
        <v>80</v>
      </c>
      <c r="B16" s="5" t="s">
        <v>123</v>
      </c>
      <c r="C16" s="5" t="s">
        <v>124</v>
      </c>
      <c r="D16" s="5" t="n">
        <v>2637.02</v>
      </c>
      <c r="E16" s="5"/>
      <c r="F16" s="6" t="n">
        <f aca="false">F17+1</f>
        <v>40</v>
      </c>
      <c r="H16" s="7" t="n">
        <f aca="false">((2^(1/12))^F16)*$G$56</f>
        <v>2637.02045530296</v>
      </c>
    </row>
    <row r="17" customFormat="false" ht="12.8" hidden="false" customHeight="false" outlineLevel="0" collapsed="false">
      <c r="A17" s="5" t="n">
        <v>79</v>
      </c>
      <c r="B17" s="5" t="s">
        <v>125</v>
      </c>
      <c r="C17" s="5" t="s">
        <v>126</v>
      </c>
      <c r="D17" s="5" t="n">
        <v>2489.02</v>
      </c>
      <c r="E17" s="5"/>
      <c r="F17" s="6" t="n">
        <f aca="false">F18+1</f>
        <v>39</v>
      </c>
      <c r="H17" s="7" t="n">
        <f aca="false">((2^(1/12))^F17)*$G$56</f>
        <v>2489.01586977665</v>
      </c>
    </row>
    <row r="18" customFormat="false" ht="12.8" hidden="false" customHeight="false" outlineLevel="0" collapsed="false">
      <c r="A18" s="5" t="n">
        <v>78</v>
      </c>
      <c r="B18" s="5" t="s">
        <v>127</v>
      </c>
      <c r="C18" s="5" t="s">
        <v>128</v>
      </c>
      <c r="D18" s="5" t="n">
        <v>2349.32</v>
      </c>
      <c r="E18" s="5"/>
      <c r="F18" s="6" t="n">
        <f aca="false">F19+1</f>
        <v>38</v>
      </c>
      <c r="H18" s="7" t="n">
        <f aca="false">((2^(1/12))^F18)*$G$56</f>
        <v>2349.31814333926</v>
      </c>
    </row>
    <row r="19" customFormat="false" ht="12.8" hidden="false" customHeight="false" outlineLevel="0" collapsed="false">
      <c r="A19" s="5" t="n">
        <v>77</v>
      </c>
      <c r="B19" s="5" t="s">
        <v>129</v>
      </c>
      <c r="C19" s="5" t="s">
        <v>130</v>
      </c>
      <c r="D19" s="5" t="n">
        <v>2217.46</v>
      </c>
      <c r="E19" s="5"/>
      <c r="F19" s="6" t="n">
        <f aca="false">F20+1</f>
        <v>37</v>
      </c>
      <c r="H19" s="7" t="n">
        <f aca="false">((2^(1/12))^F19)*$G$56</f>
        <v>2217.46104781498</v>
      </c>
    </row>
    <row r="20" customFormat="false" ht="12.8" hidden="false" customHeight="false" outlineLevel="0" collapsed="false">
      <c r="A20" s="5" t="n">
        <v>76</v>
      </c>
      <c r="B20" s="5" t="s">
        <v>131</v>
      </c>
      <c r="C20" s="5" t="s">
        <v>132</v>
      </c>
      <c r="D20" s="5" t="n">
        <v>2093</v>
      </c>
      <c r="E20" s="5"/>
      <c r="F20" s="6" t="n">
        <f aca="false">F21+1</f>
        <v>36</v>
      </c>
      <c r="H20" s="7" t="n">
        <f aca="false">((2^(1/12))^F20)*$G$56</f>
        <v>2093.00452240479</v>
      </c>
    </row>
    <row r="21" customFormat="false" ht="12.8" hidden="false" customHeight="false" outlineLevel="0" collapsed="false">
      <c r="A21" s="5" t="n">
        <v>75</v>
      </c>
      <c r="B21" s="5" t="s">
        <v>133</v>
      </c>
      <c r="C21" s="5" t="s">
        <v>134</v>
      </c>
      <c r="D21" s="5" t="n">
        <v>1975.53</v>
      </c>
      <c r="E21" s="5"/>
      <c r="F21" s="6" t="n">
        <f aca="false">F22+1</f>
        <v>35</v>
      </c>
      <c r="H21" s="7" t="n">
        <f aca="false">((2^(1/12))^F21)*$G$56</f>
        <v>1975.5332050245</v>
      </c>
    </row>
    <row r="22" customFormat="false" ht="12.8" hidden="false" customHeight="false" outlineLevel="0" collapsed="false">
      <c r="A22" s="5" t="n">
        <v>74</v>
      </c>
      <c r="B22" s="5" t="s">
        <v>135</v>
      </c>
      <c r="C22" s="5" t="s">
        <v>136</v>
      </c>
      <c r="D22" s="5" t="n">
        <v>1864.66</v>
      </c>
      <c r="E22" s="5"/>
      <c r="F22" s="6" t="n">
        <f aca="false">F23+1</f>
        <v>34</v>
      </c>
      <c r="H22" s="7" t="n">
        <f aca="false">((2^(1/12))^F22)*$G$56</f>
        <v>1864.65504607236</v>
      </c>
    </row>
    <row r="23" customFormat="false" ht="12.8" hidden="false" customHeight="false" outlineLevel="0" collapsed="false">
      <c r="A23" s="5" t="n">
        <v>73</v>
      </c>
      <c r="B23" s="5" t="s">
        <v>137</v>
      </c>
      <c r="C23" s="5" t="s">
        <v>138</v>
      </c>
      <c r="D23" s="5" t="n">
        <v>1760</v>
      </c>
      <c r="E23" s="5"/>
      <c r="F23" s="6" t="n">
        <f aca="false">F24+1</f>
        <v>33</v>
      </c>
      <c r="H23" s="7" t="n">
        <f aca="false">((2^(1/12))^F23)*$G$56</f>
        <v>1760</v>
      </c>
    </row>
    <row r="24" customFormat="false" ht="12.8" hidden="false" customHeight="false" outlineLevel="0" collapsed="false">
      <c r="A24" s="5" t="n">
        <v>72</v>
      </c>
      <c r="B24" s="5" t="s">
        <v>139</v>
      </c>
      <c r="C24" s="5" t="s">
        <v>140</v>
      </c>
      <c r="D24" s="5" t="n">
        <v>1661.22</v>
      </c>
      <c r="E24" s="5"/>
      <c r="F24" s="6" t="n">
        <f aca="false">F25+1</f>
        <v>32</v>
      </c>
      <c r="H24" s="7" t="n">
        <f aca="false">((2^(1/12))^F24)*$G$56</f>
        <v>1661.21879031978</v>
      </c>
    </row>
    <row r="25" customFormat="false" ht="12.8" hidden="false" customHeight="false" outlineLevel="0" collapsed="false">
      <c r="A25" s="5" t="n">
        <v>71</v>
      </c>
      <c r="B25" s="5" t="s">
        <v>141</v>
      </c>
      <c r="C25" s="5" t="s">
        <v>142</v>
      </c>
      <c r="D25" s="5" t="n">
        <v>1567.98</v>
      </c>
      <c r="E25" s="5"/>
      <c r="F25" s="6" t="n">
        <f aca="false">F26+1</f>
        <v>31</v>
      </c>
      <c r="H25" s="7" t="n">
        <f aca="false">((2^(1/12))^F25)*$G$56</f>
        <v>1567.981743927</v>
      </c>
    </row>
    <row r="26" customFormat="false" ht="12.8" hidden="false" customHeight="false" outlineLevel="0" collapsed="false">
      <c r="A26" s="5" t="n">
        <v>70</v>
      </c>
      <c r="B26" s="5" t="s">
        <v>143</v>
      </c>
      <c r="C26" s="5" t="s">
        <v>144</v>
      </c>
      <c r="D26" s="5" t="n">
        <v>1479.98</v>
      </c>
      <c r="E26" s="5"/>
      <c r="F26" s="6" t="n">
        <f aca="false">F27+1</f>
        <v>30</v>
      </c>
      <c r="H26" s="7" t="n">
        <f aca="false">((2^(1/12))^F26)*$G$56</f>
        <v>1479.97769084654</v>
      </c>
    </row>
    <row r="27" customFormat="false" ht="12.8" hidden="false" customHeight="false" outlineLevel="0" collapsed="false">
      <c r="A27" s="5" t="n">
        <v>69</v>
      </c>
      <c r="B27" s="5" t="s">
        <v>145</v>
      </c>
      <c r="C27" s="5" t="s">
        <v>146</v>
      </c>
      <c r="D27" s="5" t="n">
        <v>1396.91</v>
      </c>
      <c r="E27" s="5"/>
      <c r="F27" s="6" t="n">
        <f aca="false">F28+1</f>
        <v>29</v>
      </c>
      <c r="H27" s="7" t="n">
        <f aca="false">((2^(1/12))^F27)*$G$56</f>
        <v>1396.91292573202</v>
      </c>
    </row>
    <row r="28" customFormat="false" ht="12.8" hidden="false" customHeight="false" outlineLevel="0" collapsed="false">
      <c r="A28" s="5" t="n">
        <v>68</v>
      </c>
      <c r="B28" s="5" t="s">
        <v>147</v>
      </c>
      <c r="C28" s="5" t="s">
        <v>148</v>
      </c>
      <c r="D28" s="5" t="n">
        <v>1318.51</v>
      </c>
      <c r="E28" s="5"/>
      <c r="F28" s="6" t="n">
        <f aca="false">F29+1</f>
        <v>28</v>
      </c>
      <c r="H28" s="7" t="n">
        <f aca="false">((2^(1/12))^F28)*$G$56</f>
        <v>1318.51022765148</v>
      </c>
    </row>
    <row r="29" customFormat="false" ht="12.8" hidden="false" customHeight="false" outlineLevel="0" collapsed="false">
      <c r="A29" s="5" t="n">
        <v>67</v>
      </c>
      <c r="B29" s="5" t="s">
        <v>149</v>
      </c>
      <c r="C29" s="5" t="s">
        <v>150</v>
      </c>
      <c r="D29" s="5" t="n">
        <v>1244.51</v>
      </c>
      <c r="E29" s="5"/>
      <c r="F29" s="6" t="n">
        <f aca="false">F30+1</f>
        <v>27</v>
      </c>
      <c r="H29" s="7" t="n">
        <f aca="false">((2^(1/12))^F29)*$G$56</f>
        <v>1244.50793488833</v>
      </c>
    </row>
    <row r="30" customFormat="false" ht="12.8" hidden="false" customHeight="false" outlineLevel="0" collapsed="false">
      <c r="A30" s="5" t="n">
        <v>66</v>
      </c>
      <c r="B30" s="5" t="s">
        <v>151</v>
      </c>
      <c r="C30" s="5" t="s">
        <v>152</v>
      </c>
      <c r="D30" s="5" t="n">
        <v>1174.66</v>
      </c>
      <c r="E30" s="5"/>
      <c r="F30" s="6" t="n">
        <f aca="false">F31+1</f>
        <v>26</v>
      </c>
      <c r="H30" s="7" t="n">
        <f aca="false">((2^(1/12))^F30)*$G$56</f>
        <v>1174.65907166963</v>
      </c>
    </row>
    <row r="31" customFormat="false" ht="12.8" hidden="false" customHeight="false" outlineLevel="0" collapsed="false">
      <c r="A31" s="5" t="n">
        <v>65</v>
      </c>
      <c r="B31" s="5" t="s">
        <v>153</v>
      </c>
      <c r="C31" s="5" t="s">
        <v>154</v>
      </c>
      <c r="D31" s="5" t="n">
        <v>1108.73</v>
      </c>
      <c r="E31" s="5"/>
      <c r="F31" s="6" t="n">
        <f aca="false">F32+1</f>
        <v>25</v>
      </c>
      <c r="H31" s="7" t="n">
        <f aca="false">((2^(1/12))^F31)*$G$56</f>
        <v>1108.73052390749</v>
      </c>
    </row>
    <row r="32" customFormat="false" ht="12.8" hidden="false" customHeight="false" outlineLevel="0" collapsed="false">
      <c r="A32" s="5" t="n">
        <v>64</v>
      </c>
      <c r="B32" s="5" t="s">
        <v>155</v>
      </c>
      <c r="C32" s="5" t="s">
        <v>156</v>
      </c>
      <c r="D32" s="5" t="n">
        <v>1046.5</v>
      </c>
      <c r="E32" s="5"/>
      <c r="F32" s="6" t="n">
        <f aca="false">F33+1</f>
        <v>24</v>
      </c>
      <c r="H32" s="7" t="n">
        <f aca="false">((2^(1/12))^F32)*$G$56</f>
        <v>1046.5022612024</v>
      </c>
    </row>
    <row r="33" customFormat="false" ht="12.8" hidden="false" customHeight="false" outlineLevel="0" collapsed="false">
      <c r="A33" s="5" t="n">
        <v>63</v>
      </c>
      <c r="B33" s="5" t="s">
        <v>157</v>
      </c>
      <c r="C33" s="5" t="s">
        <v>158</v>
      </c>
      <c r="D33" s="5" t="n">
        <v>987.767</v>
      </c>
      <c r="E33" s="5"/>
      <c r="F33" s="6" t="n">
        <f aca="false">F34+1</f>
        <v>23</v>
      </c>
      <c r="H33" s="7" t="n">
        <f aca="false">((2^(1/12))^F33)*$G$56</f>
        <v>987.766602512249</v>
      </c>
    </row>
    <row r="34" customFormat="false" ht="12.8" hidden="false" customHeight="false" outlineLevel="0" collapsed="false">
      <c r="A34" s="5" t="n">
        <v>62</v>
      </c>
      <c r="B34" s="5" t="s">
        <v>159</v>
      </c>
      <c r="C34" s="5" t="s">
        <v>160</v>
      </c>
      <c r="D34" s="5" t="n">
        <v>932.328</v>
      </c>
      <c r="E34" s="5"/>
      <c r="F34" s="6" t="n">
        <f aca="false">F35+1</f>
        <v>22</v>
      </c>
      <c r="H34" s="7" t="n">
        <f aca="false">((2^(1/12))^F34)*$G$56</f>
        <v>932.327523036181</v>
      </c>
    </row>
    <row r="35" customFormat="false" ht="12.8" hidden="false" customHeight="false" outlineLevel="0" collapsed="false">
      <c r="A35" s="5" t="n">
        <v>61</v>
      </c>
      <c r="B35" s="5" t="s">
        <v>161</v>
      </c>
      <c r="C35" s="5" t="s">
        <v>162</v>
      </c>
      <c r="D35" s="5" t="n">
        <v>880</v>
      </c>
      <c r="E35" s="5"/>
      <c r="F35" s="6" t="n">
        <f aca="false">F36+1</f>
        <v>21</v>
      </c>
      <c r="H35" s="7" t="n">
        <f aca="false">((2^(1/12))^F35)*$G$56</f>
        <v>880.000000000001</v>
      </c>
    </row>
    <row r="36" customFormat="false" ht="12.8" hidden="false" customHeight="false" outlineLevel="0" collapsed="false">
      <c r="A36" s="5" t="n">
        <v>60</v>
      </c>
      <c r="B36" s="5" t="s">
        <v>163</v>
      </c>
      <c r="C36" s="5" t="s">
        <v>164</v>
      </c>
      <c r="D36" s="5" t="n">
        <v>830.609</v>
      </c>
      <c r="E36" s="5"/>
      <c r="F36" s="6" t="n">
        <f aca="false">F37+1</f>
        <v>20</v>
      </c>
      <c r="H36" s="7" t="n">
        <f aca="false">((2^(1/12))^F36)*$G$56</f>
        <v>830.609395159891</v>
      </c>
    </row>
    <row r="37" customFormat="false" ht="12.8" hidden="false" customHeight="false" outlineLevel="0" collapsed="false">
      <c r="A37" s="5" t="n">
        <v>59</v>
      </c>
      <c r="B37" s="5" t="s">
        <v>165</v>
      </c>
      <c r="C37" s="5" t="s">
        <v>166</v>
      </c>
      <c r="D37" s="5" t="n">
        <v>783.991</v>
      </c>
      <c r="E37" s="5"/>
      <c r="F37" s="6" t="n">
        <f aca="false">F38+1</f>
        <v>19</v>
      </c>
      <c r="H37" s="7" t="n">
        <f aca="false">((2^(1/12))^F37)*$G$56</f>
        <v>783.990871963499</v>
      </c>
    </row>
    <row r="38" customFormat="false" ht="12.8" hidden="false" customHeight="false" outlineLevel="0" collapsed="false">
      <c r="A38" s="5" t="n">
        <v>58</v>
      </c>
      <c r="B38" s="5" t="s">
        <v>167</v>
      </c>
      <c r="C38" s="5" t="s">
        <v>168</v>
      </c>
      <c r="D38" s="5" t="n">
        <v>739.989</v>
      </c>
      <c r="E38" s="5"/>
      <c r="F38" s="6" t="n">
        <f aca="false">F39+1</f>
        <v>18</v>
      </c>
      <c r="H38" s="7" t="n">
        <f aca="false">((2^(1/12))^F38)*$G$56</f>
        <v>739.988845423269</v>
      </c>
    </row>
    <row r="39" customFormat="false" ht="12.8" hidden="false" customHeight="false" outlineLevel="0" collapsed="false">
      <c r="A39" s="5" t="n">
        <v>57</v>
      </c>
      <c r="B39" s="5" t="s">
        <v>169</v>
      </c>
      <c r="C39" s="5" t="s">
        <v>170</v>
      </c>
      <c r="D39" s="5" t="n">
        <v>698.456</v>
      </c>
      <c r="E39" s="5"/>
      <c r="F39" s="6" t="n">
        <f aca="false">F40+1</f>
        <v>17</v>
      </c>
      <c r="H39" s="7" t="n">
        <f aca="false">((2^(1/12))^F39)*$G$56</f>
        <v>698.456462866008</v>
      </c>
    </row>
    <row r="40" customFormat="false" ht="12.8" hidden="false" customHeight="false" outlineLevel="0" collapsed="false">
      <c r="A40" s="5" t="n">
        <v>56</v>
      </c>
      <c r="B40" s="5" t="s">
        <v>171</v>
      </c>
      <c r="C40" s="5" t="s">
        <v>172</v>
      </c>
      <c r="D40" s="5" t="n">
        <v>659.255</v>
      </c>
      <c r="E40" s="5"/>
      <c r="F40" s="6" t="n">
        <f aca="false">F41+1</f>
        <v>16</v>
      </c>
      <c r="H40" s="7" t="n">
        <f aca="false">((2^(1/12))^F40)*$G$56</f>
        <v>659.25511382574</v>
      </c>
    </row>
    <row r="41" customFormat="false" ht="12.8" hidden="false" customHeight="false" outlineLevel="0" collapsed="false">
      <c r="A41" s="5" t="n">
        <v>55</v>
      </c>
      <c r="B41" s="5" t="s">
        <v>173</v>
      </c>
      <c r="C41" s="5" t="s">
        <v>174</v>
      </c>
      <c r="D41" s="5" t="n">
        <v>622.254</v>
      </c>
      <c r="E41" s="5"/>
      <c r="F41" s="6" t="n">
        <f aca="false">F42+1</f>
        <v>15</v>
      </c>
      <c r="H41" s="7" t="n">
        <f aca="false">((2^(1/12))^F41)*$G$56</f>
        <v>622.253967444162</v>
      </c>
    </row>
    <row r="42" customFormat="false" ht="12.8" hidden="false" customHeight="false" outlineLevel="0" collapsed="false">
      <c r="A42" s="5" t="n">
        <v>54</v>
      </c>
      <c r="B42" s="5" t="s">
        <v>175</v>
      </c>
      <c r="C42" s="5" t="s">
        <v>176</v>
      </c>
      <c r="D42" s="5" t="n">
        <v>587.33</v>
      </c>
      <c r="E42" s="5"/>
      <c r="F42" s="6" t="n">
        <f aca="false">F43+1</f>
        <v>14</v>
      </c>
      <c r="H42" s="7" t="n">
        <f aca="false">((2^(1/12))^F42)*$G$56</f>
        <v>587.329535834816</v>
      </c>
    </row>
    <row r="43" customFormat="false" ht="12.8" hidden="false" customHeight="false" outlineLevel="0" collapsed="false">
      <c r="A43" s="5" t="n">
        <v>53</v>
      </c>
      <c r="B43" s="5" t="s">
        <v>177</v>
      </c>
      <c r="C43" s="5" t="s">
        <v>178</v>
      </c>
      <c r="D43" s="5" t="n">
        <v>554.365</v>
      </c>
      <c r="E43" s="5"/>
      <c r="F43" s="6" t="n">
        <f aca="false">F44+1</f>
        <v>13</v>
      </c>
      <c r="H43" s="7" t="n">
        <f aca="false">((2^(1/12))^F43)*$G$56</f>
        <v>554.365261953744</v>
      </c>
    </row>
    <row r="44" customFormat="false" ht="12.8" hidden="false" customHeight="false" outlineLevel="0" collapsed="false">
      <c r="A44" s="5" t="n">
        <v>52</v>
      </c>
      <c r="B44" s="5" t="s">
        <v>179</v>
      </c>
      <c r="C44" s="5" t="s">
        <v>180</v>
      </c>
      <c r="D44" s="5" t="n">
        <v>523.251</v>
      </c>
      <c r="E44" s="5"/>
      <c r="F44" s="6" t="n">
        <f aca="false">F45+1</f>
        <v>12</v>
      </c>
      <c r="H44" s="7" t="n">
        <f aca="false">((2^(1/12))^F44)*$G$56</f>
        <v>523.251130601198</v>
      </c>
    </row>
    <row r="45" customFormat="false" ht="12.8" hidden="false" customHeight="false" outlineLevel="0" collapsed="false">
      <c r="A45" s="5" t="n">
        <v>51</v>
      </c>
      <c r="B45" s="5" t="s">
        <v>181</v>
      </c>
      <c r="C45" s="5" t="s">
        <v>182</v>
      </c>
      <c r="D45" s="5" t="n">
        <v>493.883</v>
      </c>
      <c r="E45" s="5"/>
      <c r="F45" s="6" t="n">
        <f aca="false">F46+1</f>
        <v>11</v>
      </c>
      <c r="H45" s="7" t="n">
        <f aca="false">((2^(1/12))^F45)*$G$56</f>
        <v>493.883301256124</v>
      </c>
    </row>
    <row r="46" customFormat="false" ht="12.8" hidden="false" customHeight="false" outlineLevel="0" collapsed="false">
      <c r="A46" s="5" t="n">
        <v>50</v>
      </c>
      <c r="B46" s="5" t="s">
        <v>183</v>
      </c>
      <c r="C46" s="5" t="s">
        <v>184</v>
      </c>
      <c r="D46" s="5" t="n">
        <v>466.164</v>
      </c>
      <c r="E46" s="5"/>
      <c r="F46" s="6" t="n">
        <f aca="false">F47+1</f>
        <v>10</v>
      </c>
      <c r="H46" s="7" t="n">
        <f aca="false">((2^(1/12))^F46)*$G$56</f>
        <v>466.16376151809</v>
      </c>
    </row>
    <row r="47" customFormat="false" ht="29.85" hidden="false" customHeight="true" outlineLevel="0" collapsed="false">
      <c r="A47" s="3" t="n">
        <v>49</v>
      </c>
      <c r="B47" s="3" t="s">
        <v>55</v>
      </c>
      <c r="C47" s="3" t="s">
        <v>185</v>
      </c>
      <c r="D47" s="3" t="s">
        <v>186</v>
      </c>
      <c r="E47" s="3"/>
      <c r="F47" s="6" t="n">
        <f aca="false">F48+1</f>
        <v>9</v>
      </c>
      <c r="H47" s="7" t="n">
        <f aca="false">((2^(1/12))^F47)*$G$56</f>
        <v>440</v>
      </c>
    </row>
    <row r="48" customFormat="false" ht="12.8" hidden="false" customHeight="false" outlineLevel="0" collapsed="false">
      <c r="A48" s="5" t="n">
        <v>48</v>
      </c>
      <c r="B48" s="5" t="s">
        <v>187</v>
      </c>
      <c r="C48" s="5" t="s">
        <v>188</v>
      </c>
      <c r="D48" s="5" t="n">
        <v>415.305</v>
      </c>
      <c r="E48" s="5"/>
      <c r="F48" s="6" t="n">
        <f aca="false">F49+1</f>
        <v>8</v>
      </c>
      <c r="H48" s="7" t="n">
        <f aca="false">((2^(1/12))^F48)*$G$56</f>
        <v>415.304697579945</v>
      </c>
    </row>
    <row r="49" customFormat="false" ht="12.8" hidden="false" customHeight="false" outlineLevel="0" collapsed="false">
      <c r="A49" s="5" t="n">
        <v>47</v>
      </c>
      <c r="B49" s="5" t="s">
        <v>189</v>
      </c>
      <c r="C49" s="5" t="s">
        <v>190</v>
      </c>
      <c r="D49" s="5" t="n">
        <v>391.995</v>
      </c>
      <c r="E49" s="5"/>
      <c r="F49" s="6" t="n">
        <f aca="false">F50+1</f>
        <v>7</v>
      </c>
      <c r="H49" s="7" t="n">
        <f aca="false">((2^(1/12))^F49)*$G$56</f>
        <v>391.995435981749</v>
      </c>
    </row>
    <row r="50" customFormat="false" ht="12.8" hidden="false" customHeight="false" outlineLevel="0" collapsed="false">
      <c r="A50" s="5" t="n">
        <v>46</v>
      </c>
      <c r="B50" s="5" t="s">
        <v>191</v>
      </c>
      <c r="C50" s="5" t="s">
        <v>192</v>
      </c>
      <c r="D50" s="5" t="n">
        <v>369.994</v>
      </c>
      <c r="E50" s="5"/>
      <c r="F50" s="6" t="n">
        <f aca="false">F51+1</f>
        <v>6</v>
      </c>
      <c r="H50" s="7" t="n">
        <f aca="false">((2^(1/12))^F50)*$G$56</f>
        <v>369.994422711634</v>
      </c>
    </row>
    <row r="51" customFormat="false" ht="12.8" hidden="false" customHeight="false" outlineLevel="0" collapsed="false">
      <c r="A51" s="5" t="n">
        <v>45</v>
      </c>
      <c r="B51" s="5" t="s">
        <v>193</v>
      </c>
      <c r="C51" s="5" t="s">
        <v>194</v>
      </c>
      <c r="D51" s="5" t="n">
        <v>349.228</v>
      </c>
      <c r="E51" s="5"/>
      <c r="F51" s="6" t="n">
        <f aca="false">F52+1</f>
        <v>5</v>
      </c>
      <c r="H51" s="7" t="n">
        <f aca="false">((2^(1/12))^F51)*$G$56</f>
        <v>349.228231433004</v>
      </c>
    </row>
    <row r="52" customFormat="false" ht="12.8" hidden="false" customHeight="false" outlineLevel="0" collapsed="false">
      <c r="A52" s="5" t="n">
        <v>44</v>
      </c>
      <c r="B52" s="5" t="s">
        <v>195</v>
      </c>
      <c r="C52" s="5" t="s">
        <v>196</v>
      </c>
      <c r="D52" s="5" t="n">
        <v>329.628</v>
      </c>
      <c r="E52" s="5"/>
      <c r="F52" s="6" t="n">
        <f aca="false">F53+1</f>
        <v>4</v>
      </c>
      <c r="H52" s="7" t="n">
        <f aca="false">((2^(1/12))^F52)*$G$56</f>
        <v>329.62755691287</v>
      </c>
    </row>
    <row r="53" customFormat="false" ht="12.8" hidden="false" customHeight="false" outlineLevel="0" collapsed="false">
      <c r="A53" s="5" t="n">
        <v>43</v>
      </c>
      <c r="B53" s="5" t="s">
        <v>197</v>
      </c>
      <c r="C53" s="5" t="s">
        <v>198</v>
      </c>
      <c r="D53" s="5" t="n">
        <v>311.127</v>
      </c>
      <c r="E53" s="5"/>
      <c r="F53" s="6" t="n">
        <f aca="false">F54+1</f>
        <v>3</v>
      </c>
      <c r="H53" s="7" t="n">
        <f aca="false">((2^(1/12))^F53)*$G$56</f>
        <v>311.126983722081</v>
      </c>
    </row>
    <row r="54" customFormat="false" ht="12.8" hidden="false" customHeight="false" outlineLevel="0" collapsed="false">
      <c r="A54" s="5" t="n">
        <v>42</v>
      </c>
      <c r="B54" s="5" t="s">
        <v>199</v>
      </c>
      <c r="C54" s="5" t="s">
        <v>200</v>
      </c>
      <c r="D54" s="5" t="n">
        <v>293.665</v>
      </c>
      <c r="E54" s="5"/>
      <c r="F54" s="6" t="n">
        <f aca="false">F55+1</f>
        <v>2</v>
      </c>
      <c r="H54" s="7" t="n">
        <f aca="false">((2^(1/12))^F54)*$G$56</f>
        <v>293.664767917408</v>
      </c>
    </row>
    <row r="55" customFormat="false" ht="12.8" hidden="false" customHeight="false" outlineLevel="0" collapsed="false">
      <c r="A55" s="5" t="n">
        <v>41</v>
      </c>
      <c r="B55" s="5" t="s">
        <v>201</v>
      </c>
      <c r="C55" s="5" t="s">
        <v>202</v>
      </c>
      <c r="D55" s="5" t="n">
        <v>277.183</v>
      </c>
      <c r="E55" s="5"/>
      <c r="F55" s="6" t="n">
        <v>1</v>
      </c>
      <c r="H55" s="7" t="n">
        <f aca="false">((2^(1/12))^F55)*$G$56</f>
        <v>277.182630976872</v>
      </c>
    </row>
    <row r="56" customFormat="false" ht="12.8" hidden="false" customHeight="false" outlineLevel="0" collapsed="false">
      <c r="A56" s="5" t="n">
        <v>40</v>
      </c>
      <c r="B56" s="5" t="s">
        <v>46</v>
      </c>
      <c r="C56" s="5" t="s">
        <v>203</v>
      </c>
      <c r="D56" s="5" t="n">
        <v>261.626</v>
      </c>
      <c r="E56" s="5"/>
      <c r="G56" s="5" t="n">
        <f aca="false">0.5*(2^(1/4))*440</f>
        <v>261.625565300599</v>
      </c>
    </row>
    <row r="57" customFormat="false" ht="12.8" hidden="false" customHeight="false" outlineLevel="0" collapsed="false">
      <c r="A57" s="5" t="n">
        <v>39</v>
      </c>
      <c r="B57" s="5" t="s">
        <v>204</v>
      </c>
      <c r="C57" s="5" t="s">
        <v>205</v>
      </c>
      <c r="D57" s="5" t="n">
        <v>246.942</v>
      </c>
      <c r="E57" s="5"/>
    </row>
    <row r="58" customFormat="false" ht="12.8" hidden="false" customHeight="false" outlineLevel="0" collapsed="false">
      <c r="A58" s="5" t="n">
        <v>38</v>
      </c>
      <c r="B58" s="5" t="s">
        <v>206</v>
      </c>
      <c r="C58" s="5" t="s">
        <v>207</v>
      </c>
      <c r="D58" s="5" t="n">
        <v>233.082</v>
      </c>
      <c r="E58" s="5"/>
    </row>
    <row r="59" customFormat="false" ht="12.8" hidden="false" customHeight="false" outlineLevel="0" collapsed="false">
      <c r="A59" s="5" t="n">
        <v>37</v>
      </c>
      <c r="B59" s="5" t="s">
        <v>208</v>
      </c>
      <c r="C59" s="5" t="s">
        <v>209</v>
      </c>
      <c r="D59" s="5" t="n">
        <v>220</v>
      </c>
      <c r="E59" s="5"/>
    </row>
    <row r="60" customFormat="false" ht="12.8" hidden="false" customHeight="false" outlineLevel="0" collapsed="false">
      <c r="A60" s="5" t="n">
        <v>36</v>
      </c>
      <c r="B60" s="5" t="s">
        <v>210</v>
      </c>
      <c r="C60" s="5" t="s">
        <v>211</v>
      </c>
      <c r="D60" s="5" t="n">
        <v>207.652</v>
      </c>
      <c r="E60" s="5"/>
    </row>
    <row r="61" customFormat="false" ht="12.8" hidden="false" customHeight="false" outlineLevel="0" collapsed="false">
      <c r="A61" s="5" t="n">
        <v>35</v>
      </c>
      <c r="B61" s="5" t="s">
        <v>212</v>
      </c>
      <c r="C61" s="5" t="s">
        <v>213</v>
      </c>
      <c r="D61" s="5" t="n">
        <v>195.998</v>
      </c>
      <c r="E61" s="5"/>
    </row>
    <row r="62" customFormat="false" ht="12.8" hidden="false" customHeight="false" outlineLevel="0" collapsed="false">
      <c r="A62" s="5" t="n">
        <v>34</v>
      </c>
      <c r="B62" s="5" t="s">
        <v>214</v>
      </c>
      <c r="C62" s="5" t="s">
        <v>215</v>
      </c>
      <c r="D62" s="5" t="n">
        <v>184.997</v>
      </c>
      <c r="E62" s="5"/>
    </row>
    <row r="63" customFormat="false" ht="12.8" hidden="false" customHeight="false" outlineLevel="0" collapsed="false">
      <c r="A63" s="5" t="n">
        <v>33</v>
      </c>
      <c r="B63" s="5" t="s">
        <v>216</v>
      </c>
      <c r="C63" s="5" t="s">
        <v>217</v>
      </c>
      <c r="D63" s="5" t="n">
        <v>174.614</v>
      </c>
      <c r="E63" s="5"/>
    </row>
    <row r="64" customFormat="false" ht="12.8" hidden="false" customHeight="false" outlineLevel="0" collapsed="false">
      <c r="A64" s="5" t="n">
        <v>32</v>
      </c>
      <c r="B64" s="5" t="s">
        <v>218</v>
      </c>
      <c r="C64" s="5" t="s">
        <v>219</v>
      </c>
      <c r="D64" s="5" t="n">
        <v>164.814</v>
      </c>
      <c r="E64" s="5"/>
    </row>
    <row r="65" customFormat="false" ht="12.8" hidden="false" customHeight="false" outlineLevel="0" collapsed="false">
      <c r="A65" s="5" t="n">
        <v>31</v>
      </c>
      <c r="B65" s="5" t="s">
        <v>220</v>
      </c>
      <c r="C65" s="5" t="s">
        <v>221</v>
      </c>
      <c r="D65" s="5" t="n">
        <v>155.563</v>
      </c>
      <c r="E65" s="5"/>
    </row>
    <row r="66" customFormat="false" ht="12.8" hidden="false" customHeight="false" outlineLevel="0" collapsed="false">
      <c r="A66" s="5" t="n">
        <v>30</v>
      </c>
      <c r="B66" s="5" t="s">
        <v>222</v>
      </c>
      <c r="C66" s="5" t="s">
        <v>223</v>
      </c>
      <c r="D66" s="5" t="n">
        <v>146.832</v>
      </c>
      <c r="E66" s="5"/>
    </row>
    <row r="67" customFormat="false" ht="12.8" hidden="false" customHeight="false" outlineLevel="0" collapsed="false">
      <c r="A67" s="5" t="n">
        <v>29</v>
      </c>
      <c r="B67" s="5" t="s">
        <v>224</v>
      </c>
      <c r="C67" s="5" t="s">
        <v>225</v>
      </c>
      <c r="D67" s="5" t="n">
        <v>138.591</v>
      </c>
      <c r="E67" s="5"/>
    </row>
    <row r="68" customFormat="false" ht="12.8" hidden="false" customHeight="false" outlineLevel="0" collapsed="false">
      <c r="A68" s="5" t="n">
        <v>28</v>
      </c>
      <c r="B68" s="5" t="s">
        <v>226</v>
      </c>
      <c r="C68" s="5" t="s">
        <v>227</v>
      </c>
      <c r="D68" s="5" t="n">
        <v>130.813</v>
      </c>
      <c r="E68" s="5"/>
    </row>
    <row r="69" customFormat="false" ht="12.8" hidden="false" customHeight="false" outlineLevel="0" collapsed="false">
      <c r="A69" s="5" t="n">
        <v>27</v>
      </c>
      <c r="B69" s="5" t="s">
        <v>228</v>
      </c>
      <c r="C69" s="5" t="s">
        <v>229</v>
      </c>
      <c r="D69" s="5" t="n">
        <v>123.471</v>
      </c>
      <c r="E69" s="5"/>
    </row>
    <row r="70" customFormat="false" ht="12.8" hidden="false" customHeight="false" outlineLevel="0" collapsed="false">
      <c r="A70" s="5" t="n">
        <v>26</v>
      </c>
      <c r="B70" s="5" t="s">
        <v>230</v>
      </c>
      <c r="C70" s="5" t="s">
        <v>231</v>
      </c>
      <c r="D70" s="5" t="n">
        <v>116.541</v>
      </c>
      <c r="E70" s="5"/>
    </row>
    <row r="71" customFormat="false" ht="12.8" hidden="false" customHeight="false" outlineLevel="0" collapsed="false">
      <c r="A71" s="5" t="n">
        <v>25</v>
      </c>
      <c r="B71" s="5" t="s">
        <v>232</v>
      </c>
      <c r="C71" s="5" t="s">
        <v>233</v>
      </c>
      <c r="D71" s="5" t="n">
        <v>110</v>
      </c>
      <c r="E71" s="5"/>
    </row>
    <row r="72" customFormat="false" ht="12.8" hidden="false" customHeight="false" outlineLevel="0" collapsed="false">
      <c r="A72" s="5" t="n">
        <v>24</v>
      </c>
      <c r="B72" s="5" t="s">
        <v>234</v>
      </c>
      <c r="C72" s="5" t="s">
        <v>235</v>
      </c>
      <c r="D72" s="5" t="n">
        <v>103.826</v>
      </c>
      <c r="E72" s="5"/>
    </row>
    <row r="73" customFormat="false" ht="12.8" hidden="false" customHeight="false" outlineLevel="0" collapsed="false">
      <c r="A73" s="5" t="n">
        <v>23</v>
      </c>
      <c r="B73" s="5" t="s">
        <v>236</v>
      </c>
      <c r="C73" s="5" t="s">
        <v>237</v>
      </c>
      <c r="D73" s="5" t="n">
        <v>97.9989</v>
      </c>
      <c r="E73" s="5"/>
    </row>
    <row r="74" customFormat="false" ht="12.8" hidden="false" customHeight="false" outlineLevel="0" collapsed="false">
      <c r="A74" s="5" t="n">
        <v>22</v>
      </c>
      <c r="B74" s="5" t="s">
        <v>238</v>
      </c>
      <c r="C74" s="5" t="s">
        <v>239</v>
      </c>
      <c r="D74" s="5" t="n">
        <v>92.4986</v>
      </c>
      <c r="E74" s="5"/>
    </row>
    <row r="75" customFormat="false" ht="12.8" hidden="false" customHeight="false" outlineLevel="0" collapsed="false">
      <c r="A75" s="5" t="n">
        <v>21</v>
      </c>
      <c r="B75" s="5" t="s">
        <v>240</v>
      </c>
      <c r="C75" s="5" t="s">
        <v>241</v>
      </c>
      <c r="D75" s="5" t="n">
        <v>87.3071</v>
      </c>
      <c r="E75" s="5"/>
    </row>
    <row r="76" customFormat="false" ht="12.8" hidden="false" customHeight="false" outlineLevel="0" collapsed="false">
      <c r="A76" s="5" t="n">
        <v>20</v>
      </c>
      <c r="B76" s="5" t="s">
        <v>242</v>
      </c>
      <c r="C76" s="5" t="s">
        <v>243</v>
      </c>
      <c r="D76" s="5" t="n">
        <v>82.4069</v>
      </c>
      <c r="E76" s="5"/>
    </row>
    <row r="77" customFormat="false" ht="12.8" hidden="false" customHeight="false" outlineLevel="0" collapsed="false">
      <c r="A77" s="5" t="n">
        <v>19</v>
      </c>
      <c r="B77" s="5" t="s">
        <v>244</v>
      </c>
      <c r="C77" s="5" t="s">
        <v>245</v>
      </c>
      <c r="D77" s="5" t="n">
        <v>77.7817</v>
      </c>
      <c r="E77" s="5"/>
    </row>
    <row r="78" customFormat="false" ht="12.8" hidden="false" customHeight="false" outlineLevel="0" collapsed="false">
      <c r="A78" s="5" t="n">
        <v>18</v>
      </c>
      <c r="B78" s="5" t="s">
        <v>246</v>
      </c>
      <c r="C78" s="5" t="s">
        <v>247</v>
      </c>
      <c r="D78" s="5" t="n">
        <v>73.4162</v>
      </c>
      <c r="E78" s="5"/>
    </row>
    <row r="79" customFormat="false" ht="12.8" hidden="false" customHeight="false" outlineLevel="0" collapsed="false">
      <c r="A79" s="5" t="n">
        <v>17</v>
      </c>
      <c r="B79" s="5" t="s">
        <v>248</v>
      </c>
      <c r="C79" s="5" t="s">
        <v>249</v>
      </c>
      <c r="D79" s="5" t="n">
        <v>69.2957</v>
      </c>
      <c r="E79" s="5"/>
    </row>
    <row r="80" customFormat="false" ht="12.8" hidden="false" customHeight="false" outlineLevel="0" collapsed="false">
      <c r="A80" s="5" t="n">
        <v>16</v>
      </c>
      <c r="B80" s="5" t="s">
        <v>250</v>
      </c>
      <c r="C80" s="5" t="s">
        <v>251</v>
      </c>
      <c r="D80" s="5" t="n">
        <v>65.4064</v>
      </c>
      <c r="E80" s="5"/>
    </row>
    <row r="81" customFormat="false" ht="12.8" hidden="false" customHeight="false" outlineLevel="0" collapsed="false">
      <c r="A81" s="5" t="n">
        <v>15</v>
      </c>
      <c r="B81" s="5" t="s">
        <v>252</v>
      </c>
      <c r="C81" s="5" t="s">
        <v>253</v>
      </c>
      <c r="D81" s="5" t="n">
        <v>61.7354</v>
      </c>
      <c r="E81" s="5"/>
    </row>
    <row r="82" customFormat="false" ht="12.8" hidden="false" customHeight="false" outlineLevel="0" collapsed="false">
      <c r="A82" s="5" t="n">
        <v>14</v>
      </c>
      <c r="B82" s="5" t="s">
        <v>254</v>
      </c>
      <c r="C82" s="5" t="s">
        <v>255</v>
      </c>
      <c r="D82" s="5" t="n">
        <v>58.2705</v>
      </c>
      <c r="E82" s="5"/>
    </row>
    <row r="83" customFormat="false" ht="12.8" hidden="false" customHeight="false" outlineLevel="0" collapsed="false">
      <c r="A83" s="5" t="n">
        <v>13</v>
      </c>
      <c r="B83" s="5" t="s">
        <v>256</v>
      </c>
      <c r="C83" s="5" t="s">
        <v>256</v>
      </c>
      <c r="D83" s="5" t="n">
        <v>55</v>
      </c>
      <c r="E83" s="5"/>
    </row>
    <row r="84" customFormat="false" ht="12.8" hidden="false" customHeight="false" outlineLevel="0" collapsed="false">
      <c r="A84" s="5" t="n">
        <v>12</v>
      </c>
      <c r="B84" s="5" t="s">
        <v>257</v>
      </c>
      <c r="C84" s="5" t="s">
        <v>258</v>
      </c>
      <c r="D84" s="5" t="n">
        <v>51.9131</v>
      </c>
      <c r="E84" s="5"/>
    </row>
    <row r="85" customFormat="false" ht="12.8" hidden="false" customHeight="false" outlineLevel="0" collapsed="false">
      <c r="A85" s="5" t="n">
        <v>11</v>
      </c>
      <c r="B85" s="5" t="s">
        <v>259</v>
      </c>
      <c r="C85" s="5" t="s">
        <v>259</v>
      </c>
      <c r="D85" s="5" t="n">
        <v>48.9994</v>
      </c>
      <c r="E85" s="5"/>
    </row>
    <row r="86" customFormat="false" ht="12.8" hidden="false" customHeight="false" outlineLevel="0" collapsed="false">
      <c r="A86" s="5" t="n">
        <v>10</v>
      </c>
      <c r="B86" s="5" t="s">
        <v>260</v>
      </c>
      <c r="C86" s="5" t="s">
        <v>261</v>
      </c>
      <c r="D86" s="5" t="n">
        <v>46.2493</v>
      </c>
      <c r="E86" s="5"/>
    </row>
    <row r="87" customFormat="false" ht="12.8" hidden="false" customHeight="false" outlineLevel="0" collapsed="false">
      <c r="A87" s="5" t="n">
        <v>9</v>
      </c>
      <c r="B87" s="5" t="s">
        <v>262</v>
      </c>
      <c r="C87" s="5" t="s">
        <v>262</v>
      </c>
      <c r="D87" s="5" t="n">
        <v>43.6535</v>
      </c>
      <c r="E87" s="5"/>
    </row>
    <row r="88" customFormat="false" ht="12.8" hidden="false" customHeight="false" outlineLevel="0" collapsed="false">
      <c r="A88" s="5" t="n">
        <v>8</v>
      </c>
      <c r="B88" s="5" t="s">
        <v>263</v>
      </c>
      <c r="C88" s="5" t="s">
        <v>263</v>
      </c>
      <c r="D88" s="5" t="n">
        <v>41.2034</v>
      </c>
      <c r="E88" s="5"/>
    </row>
    <row r="89" customFormat="false" ht="12.8" hidden="false" customHeight="false" outlineLevel="0" collapsed="false">
      <c r="A89" s="5" t="n">
        <v>7</v>
      </c>
      <c r="B89" s="5" t="s">
        <v>264</v>
      </c>
      <c r="C89" s="5" t="s">
        <v>265</v>
      </c>
      <c r="D89" s="5" t="n">
        <v>38.8909</v>
      </c>
      <c r="E89" s="5"/>
    </row>
    <row r="90" customFormat="false" ht="12.8" hidden="false" customHeight="false" outlineLevel="0" collapsed="false">
      <c r="A90" s="5" t="n">
        <v>6</v>
      </c>
      <c r="B90" s="5" t="s">
        <v>266</v>
      </c>
      <c r="C90" s="5" t="s">
        <v>266</v>
      </c>
      <c r="D90" s="5" t="n">
        <v>36.7081</v>
      </c>
      <c r="E90" s="5"/>
    </row>
    <row r="91" customFormat="false" ht="12.8" hidden="false" customHeight="false" outlineLevel="0" collapsed="false">
      <c r="A91" s="5" t="n">
        <v>5</v>
      </c>
      <c r="B91" s="5" t="s">
        <v>267</v>
      </c>
      <c r="C91" s="5" t="s">
        <v>268</v>
      </c>
      <c r="D91" s="5" t="n">
        <v>34.6478</v>
      </c>
      <c r="E91" s="5"/>
    </row>
    <row r="92" customFormat="false" ht="12.8" hidden="false" customHeight="false" outlineLevel="0" collapsed="false">
      <c r="A92" s="5" t="n">
        <v>4</v>
      </c>
      <c r="B92" s="5" t="s">
        <v>269</v>
      </c>
      <c r="C92" s="5" t="s">
        <v>269</v>
      </c>
      <c r="D92" s="5" t="n">
        <v>32.7032</v>
      </c>
      <c r="E92" s="5"/>
    </row>
    <row r="93" customFormat="false" ht="12.8" hidden="false" customHeight="false" outlineLevel="0" collapsed="false">
      <c r="A93" s="5" t="n">
        <v>3</v>
      </c>
      <c r="B93" s="5" t="s">
        <v>270</v>
      </c>
      <c r="C93" s="5" t="s">
        <v>271</v>
      </c>
      <c r="D93" s="5" t="n">
        <v>30.8677</v>
      </c>
      <c r="E93" s="5"/>
    </row>
    <row r="94" customFormat="false" ht="12.8" hidden="false" customHeight="false" outlineLevel="0" collapsed="false">
      <c r="A94" s="5" t="n">
        <v>2</v>
      </c>
      <c r="B94" s="5" t="s">
        <v>272</v>
      </c>
      <c r="C94" s="5" t="s">
        <v>273</v>
      </c>
      <c r="D94" s="5" t="n">
        <v>29.1352</v>
      </c>
      <c r="E94" s="5"/>
    </row>
    <row r="95" customFormat="false" ht="12.8" hidden="false" customHeight="false" outlineLevel="0" collapsed="false">
      <c r="A95" s="5" t="n">
        <v>1</v>
      </c>
      <c r="B95" s="5" t="s">
        <v>274</v>
      </c>
      <c r="C95" s="5" t="s">
        <v>232</v>
      </c>
      <c r="D95" s="5" t="n">
        <v>27.5</v>
      </c>
      <c r="E95" s="5"/>
    </row>
  </sheetData>
  <hyperlinks>
    <hyperlink ref="A1" r:id="rId1" display="https://mint-zirkel.de/2023/10/10/musik-papier-und-die-zwoelfte-dimension/"/>
    <hyperlink ref="D7" r:id="rId2" display="Frequenz (Hz)&#10;(Kammerton 440 Hz) "/>
  </hyperlinks>
  <printOptions headings="true" gridLines="true" gridLinesSet="true" horizontalCentered="false" verticalCentered="false"/>
  <pageMargins left="0.7875" right="0.7875" top="0.749305555555556" bottom="0.63125" header="0.511805555555556" footer="0.393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2025-11-25T08:56:21Z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